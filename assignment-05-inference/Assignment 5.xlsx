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emilybradley/Library/CloudStorage/GoogleDrive-brade26@wfu.edu/My Drive/Stats Project/"/>
    </mc:Choice>
  </mc:AlternateContent>
  <xr:revisionPtr revIDLastSave="0" documentId="8_{90F3C8F3-35EC-FB4B-B405-5ED933B8C00B}" xr6:coauthVersionLast="47" xr6:coauthVersionMax="47" xr10:uidLastSave="{00000000-0000-0000-0000-000000000000}"/>
  <bookViews>
    <workbookView xWindow="460" yWindow="640" windowWidth="29780" windowHeight="19000" activeTab="3" xr2:uid="{00000000-000D-0000-FFFF-FFFF00000000}"/>
  </bookViews>
  <sheets>
    <sheet name="university_test_scores_clean" sheetId="1" r:id="rId1"/>
    <sheet name="One Sample Test" sheetId="2" r:id="rId2"/>
    <sheet name="Confidence Interval" sheetId="3" r:id="rId3"/>
    <sheet name="Inference Commentary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n4cvt29XCJMTecaoin0aFwIMAbVJMc5UUOQUolqkHLY="/>
    </ext>
  </extLst>
</workbook>
</file>

<file path=xl/calcChain.xml><?xml version="1.0" encoding="utf-8"?>
<calcChain xmlns="http://schemas.openxmlformats.org/spreadsheetml/2006/main">
  <c r="M12" i="2" l="1"/>
  <c r="M11" i="2"/>
  <c r="M8" i="2" l="1"/>
  <c r="E8" i="2"/>
  <c r="M7" i="2"/>
  <c r="E7" i="2"/>
  <c r="E11" i="2" s="1"/>
  <c r="E12" i="2" s="1"/>
  <c r="M6" i="2"/>
  <c r="E6" i="2"/>
  <c r="F5" i="3"/>
  <c r="F4" i="3"/>
  <c r="R591" i="1"/>
  <c r="Q585" i="1"/>
  <c r="Q5" i="1"/>
</calcChain>
</file>

<file path=xl/sharedStrings.xml><?xml version="1.0" encoding="utf-8"?>
<sst xmlns="http://schemas.openxmlformats.org/spreadsheetml/2006/main" count="2871" uniqueCount="63">
  <si>
    <t>Admissions_Rate</t>
  </si>
  <si>
    <t>SAT_Average</t>
  </si>
  <si>
    <t>ACT_Composite_50</t>
  </si>
  <si>
    <t>Total_Undergraduates</t>
  </si>
  <si>
    <t>InState_Tuition</t>
  </si>
  <si>
    <t>OutState_Tuition</t>
  </si>
  <si>
    <t>Funding_Type</t>
  </si>
  <si>
    <t>Income_1_Percent</t>
  </si>
  <si>
    <t>Income_2_Percent</t>
  </si>
  <si>
    <t>Income_3_Percent</t>
  </si>
  <si>
    <t>Income_4_Percent</t>
  </si>
  <si>
    <t>Income_5_Percent</t>
  </si>
  <si>
    <t>USnewsTop100Rank</t>
  </si>
  <si>
    <t>USnewsTop100Rank_new</t>
  </si>
  <si>
    <t>Sample mean for in state public tuition</t>
  </si>
  <si>
    <t>private/for-profit</t>
  </si>
  <si>
    <t>NA</t>
  </si>
  <si>
    <t>Not Ranked</t>
  </si>
  <si>
    <t>lower bound</t>
  </si>
  <si>
    <t xml:space="preserve">Sample Average </t>
  </si>
  <si>
    <t>upper bound</t>
  </si>
  <si>
    <t>Sample STD</t>
  </si>
  <si>
    <t>n</t>
  </si>
  <si>
    <t>private/non-profit</t>
  </si>
  <si>
    <t>We are 95% confident that the true average in-state public tuition is between $22,285.49 and $24,107.89.</t>
  </si>
  <si>
    <t>Top 50</t>
  </si>
  <si>
    <t xml:space="preserve"> In business terms, this provides a reasonable range for the average in-state public tuition across the population of schools represented by this sample.</t>
  </si>
  <si>
    <t>Column1</t>
  </si>
  <si>
    <t>Lower Tail (t)</t>
  </si>
  <si>
    <t>H0=</t>
  </si>
  <si>
    <t>&gt;=</t>
  </si>
  <si>
    <t>Mean</t>
  </si>
  <si>
    <t>Ha=</t>
  </si>
  <si>
    <t>&lt;</t>
  </si>
  <si>
    <t>Standard Error</t>
  </si>
  <si>
    <t>Median</t>
  </si>
  <si>
    <t>x-bar=</t>
  </si>
  <si>
    <t>Mode</t>
  </si>
  <si>
    <t>s</t>
  </si>
  <si>
    <t>Standard Deviation</t>
  </si>
  <si>
    <t>n=</t>
  </si>
  <si>
    <t>Sample Variance</t>
  </si>
  <si>
    <t>alpha=</t>
  </si>
  <si>
    <t>Kurtosis</t>
  </si>
  <si>
    <t>Skewness</t>
  </si>
  <si>
    <t>t</t>
  </si>
  <si>
    <t>Range</t>
  </si>
  <si>
    <t>p value</t>
  </si>
  <si>
    <t>Ranked (50-100)</t>
  </si>
  <si>
    <t>Minimum</t>
  </si>
  <si>
    <t>Maximum</t>
  </si>
  <si>
    <t>Sum</t>
  </si>
  <si>
    <t>Count</t>
  </si>
  <si>
    <t>Admissions Rate</t>
  </si>
  <si>
    <t>public</t>
  </si>
  <si>
    <t>SAT Average</t>
  </si>
  <si>
    <t>We fail to reject the null hypothesis and do not have sufficient evidence to prove that the average admissions rate for universities in our dataset is less than 50%</t>
  </si>
  <si>
    <t>This suggests that the majority of  universities in our dataset are not selective.</t>
  </si>
  <si>
    <t>https://blog.prepscholar.com/what-is-the-average-sat-score</t>
  </si>
  <si>
    <t>The average SAT score for the Class of 2025 (high school graduates) was 1029. This means that the average university in our dataset has a higher SAT composite average than the avergae Class of 2025 high school graduate.</t>
  </si>
  <si>
    <t>&gt;</t>
  </si>
  <si>
    <t>&lt;=</t>
  </si>
  <si>
    <t>We reject H0 and have significant evidence to suggest that the average SAT composite score for universities in our dataset is greater than 1029.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</si>
</sst>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8" formatCode="0.0000"/>
  </numFmts>
  <fonts count="9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theme="1"/>
      <name val="Aptos Narrow"/>
    </font>
    <font>
      <sz val="12"/>
      <color rgb="FF000000"/>
      <name val="Arial"/>
      <family val="2"/>
    </font>
    <font>
      <sz val="12"/>
      <name val="Aptos Narrow"/>
    </font>
    <font>
      <i/>
      <sz val="12"/>
      <color theme="1"/>
      <name val="Aptos Narrow"/>
    </font>
    <font>
      <sz val="12"/>
      <color rgb="FF000000"/>
      <name val="Aptos Narrow"/>
    </font>
    <font>
      <i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E2D5"/>
        <bgColor rgb="FFFBE2D5"/>
      </patternFill>
    </fill>
    <fill>
      <patternFill patternType="solid">
        <fgColor rgb="FFFAE2D5"/>
        <bgColor rgb="FFFAE2D5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7" fillId="0" borderId="5" xfId="0" applyFont="1" applyBorder="1"/>
    <xf numFmtId="164" fontId="7" fillId="2" borderId="6" xfId="0" applyNumberFormat="1" applyFont="1" applyFill="1" applyBorder="1"/>
    <xf numFmtId="164" fontId="7" fillId="2" borderId="7" xfId="0" applyNumberFormat="1" applyFont="1" applyFill="1" applyBorder="1"/>
    <xf numFmtId="164" fontId="3" fillId="0" borderId="5" xfId="0" applyNumberFormat="1" applyFont="1" applyBorder="1"/>
    <xf numFmtId="0" fontId="7" fillId="3" borderId="8" xfId="0" applyFont="1" applyFill="1" applyBorder="1"/>
    <xf numFmtId="0" fontId="3" fillId="0" borderId="9" xfId="0" applyFont="1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5" fillId="0" borderId="2" xfId="0" applyFont="1" applyBorder="1"/>
    <xf numFmtId="0" fontId="3" fillId="0" borderId="3" xfId="0" applyFont="1" applyBorder="1" applyAlignment="1">
      <alignment horizontal="center"/>
    </xf>
    <xf numFmtId="0" fontId="5" fillId="0" borderId="4" xfId="0" applyFont="1" applyBorder="1"/>
    <xf numFmtId="0" fontId="3" fillId="2" borderId="1" xfId="0" applyFont="1" applyFill="1" applyBorder="1" applyAlignment="1">
      <alignment horizontal="center"/>
    </xf>
    <xf numFmtId="0" fontId="5" fillId="0" borderId="6" xfId="0" applyFont="1" applyBorder="1"/>
    <xf numFmtId="0" fontId="8" fillId="0" borderId="10" xfId="0" applyFont="1" applyBorder="1" applyAlignment="1">
      <alignment horizontal="centerContinuous"/>
    </xf>
    <xf numFmtId="0" fontId="7" fillId="0" borderId="6" xfId="0" applyFont="1" applyBorder="1"/>
    <xf numFmtId="0" fontId="0" fillId="0" borderId="1" xfId="0" applyBorder="1"/>
    <xf numFmtId="0" fontId="7" fillId="0" borderId="8" xfId="0" applyFont="1" applyBorder="1"/>
    <xf numFmtId="0" fontId="7" fillId="0" borderId="7" xfId="0" applyFont="1" applyBorder="1"/>
    <xf numFmtId="164" fontId="7" fillId="0" borderId="7" xfId="0" applyNumberFormat="1" applyFont="1" applyBorder="1"/>
    <xf numFmtId="0" fontId="0" fillId="0" borderId="11" xfId="0" applyBorder="1"/>
    <xf numFmtId="0" fontId="0" fillId="5" borderId="12" xfId="0" applyFill="1" applyBorder="1" applyAlignment="1">
      <alignment wrapText="1"/>
    </xf>
    <xf numFmtId="168" fontId="3" fillId="4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50800</xdr:rowOff>
    </xdr:from>
    <xdr:to>
      <xdr:col>10</xdr:col>
      <xdr:colOff>419100</xdr:colOff>
      <xdr:row>15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35EDCA-D4D2-DA25-460A-CD204D814BD7}"/>
            </a:ext>
          </a:extLst>
        </xdr:cNvPr>
        <xdr:cNvSpPr txBox="1"/>
      </xdr:nvSpPr>
      <xdr:spPr>
        <a:xfrm>
          <a:off x="114300" y="241300"/>
          <a:ext cx="8305800" cy="269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tests and 95% confidence interval provide useful information about in-state public tuition. The tests reveal that the universities in our dataset are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not selective but also have average SAT composite scores higher than the average high school graduate in 2025.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confidence interval suggests that the true average in-state public tuition is likely between $22,285.49 and $24,107.89,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giving a reasonable range for the population mean. The results were somewhat surprising because the tuition values showed a relatively large standard deviation of $8,973.75,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indicating substantial variation in tuition costs across schools. These findings could help businesses in the education industry, financial planning, or student services better understand the typical cost of attending a public institution and develop pricing, budgeting, or financial aid strategies.</a:t>
          </a:r>
          <a:r>
            <a:rPr lang="en-US">
              <a:effectLst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assumptions for inference appear to be reasonably met because the sample size is large (n = 375), which supports the use of the Central Limit Theorem even if the underlying tuition data are not perfectly normally distributed.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Assuming the observations were collected independently and the sample is reasonably representative of the population, the confidence interval should provide a reliable estimate of the true mean.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Overall, businesses and organizations could use these findings to benchmark tuition costs, estimate expected education expenses, and make more informed decisions about products or services targeted toward college students and families.</a:t>
          </a:r>
          <a:r>
            <a:rPr lang="en-US">
              <a:effectLst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milybradley/Downloads/Assignment%205-emily.xlsx" TargetMode="External"/><Relationship Id="rId1" Type="http://schemas.openxmlformats.org/officeDocument/2006/relationships/externalLinkPath" Target="/Users/emilybradley/Downloads/Assignment%205-emi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versity_test_scores_clean"/>
      <sheetName val="One Sample Test"/>
      <sheetName val="Confidence Interval"/>
      <sheetName val="Inference Commentary"/>
    </sheetNames>
    <sheetDataSet>
      <sheetData sheetId="0">
        <row r="1">
          <cell r="A1" t="str">
            <v>Admissions_Rate</v>
          </cell>
          <cell r="B1" t="str">
            <v>SAT_Average</v>
          </cell>
        </row>
        <row r="2">
          <cell r="A2">
            <v>0.60360998799999999</v>
          </cell>
          <cell r="B2">
            <v>1095</v>
          </cell>
        </row>
        <row r="3">
          <cell r="A3">
            <v>0.98746383800000004</v>
          </cell>
          <cell r="B3">
            <v>1090</v>
          </cell>
        </row>
        <row r="4">
          <cell r="A4">
            <v>0.91324464999999999</v>
          </cell>
          <cell r="B4">
            <v>1337</v>
          </cell>
        </row>
        <row r="5">
          <cell r="A5">
            <v>0.68019093100000005</v>
          </cell>
          <cell r="B5">
            <v>1295</v>
          </cell>
        </row>
        <row r="6">
          <cell r="A6">
            <v>0.892444444</v>
          </cell>
          <cell r="B6">
            <v>1112</v>
          </cell>
        </row>
        <row r="7">
          <cell r="A7">
            <v>0.90134529100000005</v>
          </cell>
          <cell r="B7">
            <v>868</v>
          </cell>
        </row>
        <row r="8">
          <cell r="A8">
            <v>0.43473107100000002</v>
          </cell>
          <cell r="B8">
            <v>1050</v>
          </cell>
        </row>
        <row r="9">
          <cell r="A9">
            <v>4.4950055000000003E-2</v>
          </cell>
          <cell r="B9">
            <v>1535</v>
          </cell>
        </row>
        <row r="10">
          <cell r="A10">
            <v>4.7353553E-2</v>
          </cell>
          <cell r="B10">
            <v>1553</v>
          </cell>
        </row>
        <row r="11">
          <cell r="A11">
            <v>3.4511829000000001E-2</v>
          </cell>
          <cell r="B11">
            <v>1553</v>
          </cell>
        </row>
        <row r="12">
          <cell r="A12">
            <v>3.9063517999999998E-2</v>
          </cell>
          <cell r="B12">
            <v>1553</v>
          </cell>
        </row>
        <row r="13">
          <cell r="A13">
            <v>4.5016698000000001E-2</v>
          </cell>
          <cell r="B13">
            <v>1534</v>
          </cell>
        </row>
        <row r="14">
          <cell r="A14">
            <v>7.1529293999999993E-2</v>
          </cell>
          <cell r="B14">
            <v>1526</v>
          </cell>
        </row>
        <row r="15">
          <cell r="A15">
            <v>7.5604993999999995E-2</v>
          </cell>
          <cell r="B15">
            <v>1553</v>
          </cell>
        </row>
        <row r="16">
          <cell r="A16">
            <v>6.7831338000000005E-2</v>
          </cell>
          <cell r="B16">
            <v>1539</v>
          </cell>
        </row>
        <row r="17">
          <cell r="A17">
            <v>5.8673168999999997E-2</v>
          </cell>
          <cell r="B17">
            <v>1545</v>
          </cell>
        </row>
        <row r="18">
          <cell r="A18">
            <v>4.7863114999999998E-2</v>
          </cell>
          <cell r="B18">
            <v>1554</v>
          </cell>
        </row>
        <row r="19">
          <cell r="A19">
            <v>8.1633275000000005E-2</v>
          </cell>
          <cell r="B19">
            <v>1520</v>
          </cell>
        </row>
        <row r="20">
          <cell r="A20">
            <v>4.2334194999999998E-2</v>
          </cell>
          <cell r="B20">
            <v>1547</v>
          </cell>
        </row>
        <row r="21">
          <cell r="A21">
            <v>5.2342349000000003E-2</v>
          </cell>
          <cell r="B21">
            <v>1546</v>
          </cell>
        </row>
        <row r="22">
          <cell r="A22">
            <v>6.2307132000000001E-2</v>
          </cell>
          <cell r="B22">
            <v>1533</v>
          </cell>
        </row>
        <row r="23">
          <cell r="A23">
            <v>0.123796424</v>
          </cell>
          <cell r="B23">
            <v>1510</v>
          </cell>
        </row>
        <row r="24">
          <cell r="A24">
            <v>6.2763445000000001E-2</v>
          </cell>
          <cell r="B24">
            <v>1550</v>
          </cell>
        </row>
        <row r="25">
          <cell r="A25">
            <v>7.8785537000000003E-2</v>
          </cell>
          <cell r="B25">
            <v>1553</v>
          </cell>
        </row>
        <row r="26">
          <cell r="A26">
            <v>0.11957196</v>
          </cell>
          <cell r="B26">
            <v>1530</v>
          </cell>
        </row>
        <row r="27">
          <cell r="A27">
            <v>0.114011926</v>
          </cell>
          <cell r="B27">
            <v>1545</v>
          </cell>
        </row>
        <row r="28">
          <cell r="A28">
            <v>0.13082205199999999</v>
          </cell>
          <cell r="B28">
            <v>1494</v>
          </cell>
        </row>
        <row r="29">
          <cell r="A29">
            <v>0.13467131500000001</v>
          </cell>
          <cell r="B29">
            <v>1507</v>
          </cell>
        </row>
        <row r="30">
          <cell r="A30">
            <v>0.10016335</v>
          </cell>
          <cell r="B30">
            <v>1501</v>
          </cell>
        </row>
        <row r="31">
          <cell r="A31">
            <v>9.4146753999999999E-2</v>
          </cell>
          <cell r="B31">
            <v>1527</v>
          </cell>
        </row>
        <row r="32">
          <cell r="A32">
            <v>0.156505587</v>
          </cell>
          <cell r="B32">
            <v>1501</v>
          </cell>
        </row>
        <row r="33">
          <cell r="A33">
            <v>0.101285181</v>
          </cell>
          <cell r="B33">
            <v>1513</v>
          </cell>
        </row>
        <row r="34">
          <cell r="A34">
            <v>0.108491211</v>
          </cell>
          <cell r="B34">
            <v>1473</v>
          </cell>
        </row>
        <row r="35">
          <cell r="A35">
            <v>0.35853320999999999</v>
          </cell>
          <cell r="B35">
            <v>1480</v>
          </cell>
        </row>
        <row r="36">
          <cell r="A36">
            <v>0.215572973</v>
          </cell>
          <cell r="B36">
            <v>1469</v>
          </cell>
        </row>
        <row r="37">
          <cell r="A37">
            <v>0.29264186800000003</v>
          </cell>
          <cell r="B37">
            <v>1432</v>
          </cell>
        </row>
        <row r="38">
          <cell r="A38">
            <v>0.28675735899999999</v>
          </cell>
          <cell r="B38">
            <v>1501</v>
          </cell>
        </row>
        <row r="39">
          <cell r="A39">
            <v>7.2929847000000006E-2</v>
          </cell>
          <cell r="B39">
            <v>1505</v>
          </cell>
        </row>
        <row r="40">
          <cell r="A40">
            <v>0.25122151599999998</v>
          </cell>
          <cell r="B40">
            <v>1466</v>
          </cell>
        </row>
        <row r="41">
          <cell r="A41">
            <v>0.438412142</v>
          </cell>
          <cell r="B41">
            <v>1417</v>
          </cell>
        </row>
        <row r="42">
          <cell r="A42">
            <v>0.43544696199999999</v>
          </cell>
          <cell r="B42">
            <v>1433</v>
          </cell>
        </row>
        <row r="43">
          <cell r="A43">
            <v>0.18514683300000001</v>
          </cell>
          <cell r="B43">
            <v>1416</v>
          </cell>
        </row>
        <row r="44">
          <cell r="A44">
            <v>0.14594072199999999</v>
          </cell>
          <cell r="B44">
            <v>1443</v>
          </cell>
        </row>
        <row r="45">
          <cell r="A45">
            <v>0.35312887799999998</v>
          </cell>
          <cell r="B45">
            <v>1473</v>
          </cell>
        </row>
        <row r="46">
          <cell r="A46">
            <v>0.58447460500000004</v>
          </cell>
          <cell r="B46">
            <v>1415</v>
          </cell>
        </row>
        <row r="47">
          <cell r="A47">
            <v>0.41685475999999999</v>
          </cell>
          <cell r="B47">
            <v>1351</v>
          </cell>
        </row>
        <row r="48">
          <cell r="A48">
            <v>0.43443895599999999</v>
          </cell>
          <cell r="B48">
            <v>1447</v>
          </cell>
        </row>
        <row r="49">
          <cell r="A49">
            <v>0.49851489100000002</v>
          </cell>
          <cell r="B49">
            <v>1367</v>
          </cell>
        </row>
        <row r="50">
          <cell r="A50">
            <v>0.34892228600000003</v>
          </cell>
          <cell r="B50">
            <v>1205</v>
          </cell>
        </row>
        <row r="51">
          <cell r="A51">
            <v>0.775320864</v>
          </cell>
          <cell r="B51">
            <v>1337</v>
          </cell>
        </row>
        <row r="52">
          <cell r="A52">
            <v>0.87439242800000005</v>
          </cell>
          <cell r="B52">
            <v>1306</v>
          </cell>
        </row>
        <row r="53">
          <cell r="A53">
            <v>0.47379961799999998</v>
          </cell>
          <cell r="B53">
            <v>1392</v>
          </cell>
        </row>
        <row r="54">
          <cell r="A54">
            <v>0.56278771500000002</v>
          </cell>
          <cell r="B54">
            <v>1412</v>
          </cell>
        </row>
        <row r="55">
          <cell r="A55">
            <v>0.71399727999999996</v>
          </cell>
          <cell r="B55">
            <v>1378</v>
          </cell>
        </row>
        <row r="56">
          <cell r="A56">
            <v>0.50992827500000004</v>
          </cell>
          <cell r="B56">
            <v>1313</v>
          </cell>
        </row>
        <row r="57">
          <cell r="A57">
            <v>0.61224489800000004</v>
          </cell>
          <cell r="B57">
            <v>1424</v>
          </cell>
        </row>
        <row r="58">
          <cell r="A58">
            <v>0.63747810900000001</v>
          </cell>
          <cell r="B58">
            <v>1410</v>
          </cell>
        </row>
        <row r="59">
          <cell r="A59">
            <v>0.75960125899999997</v>
          </cell>
          <cell r="B59">
            <v>1316</v>
          </cell>
        </row>
        <row r="60">
          <cell r="A60">
            <v>0.51943817400000003</v>
          </cell>
          <cell r="B60">
            <v>1197</v>
          </cell>
        </row>
        <row r="61">
          <cell r="A61">
            <v>0.66125419900000004</v>
          </cell>
          <cell r="B61">
            <v>1016</v>
          </cell>
        </row>
        <row r="62">
          <cell r="A62">
            <v>0.70825261500000003</v>
          </cell>
          <cell r="B62">
            <v>1148</v>
          </cell>
        </row>
        <row r="63">
          <cell r="A63">
            <v>0.72507204599999997</v>
          </cell>
          <cell r="B63">
            <v>1220</v>
          </cell>
        </row>
        <row r="64">
          <cell r="A64">
            <v>0.82228584000000005</v>
          </cell>
          <cell r="B64">
            <v>1203</v>
          </cell>
        </row>
        <row r="65">
          <cell r="A65">
            <v>0.59104870600000003</v>
          </cell>
          <cell r="B65">
            <v>1090</v>
          </cell>
        </row>
        <row r="66">
          <cell r="A66">
            <v>0.31425651500000001</v>
          </cell>
          <cell r="B66">
            <v>1121</v>
          </cell>
        </row>
        <row r="67">
          <cell r="A67">
            <v>0.67846353000000004</v>
          </cell>
          <cell r="B67">
            <v>1256</v>
          </cell>
        </row>
        <row r="68">
          <cell r="A68">
            <v>1</v>
          </cell>
          <cell r="B68">
            <v>980</v>
          </cell>
        </row>
        <row r="69">
          <cell r="A69">
            <v>0.46357615899999999</v>
          </cell>
          <cell r="B69">
            <v>1022</v>
          </cell>
        </row>
        <row r="70">
          <cell r="A70">
            <v>1</v>
          </cell>
          <cell r="B70">
            <v>1187</v>
          </cell>
        </row>
        <row r="71">
          <cell r="A71">
            <v>0.52981651399999996</v>
          </cell>
          <cell r="B71">
            <v>1336</v>
          </cell>
        </row>
        <row r="72">
          <cell r="A72">
            <v>0.67637540500000004</v>
          </cell>
          <cell r="B72">
            <v>1222</v>
          </cell>
        </row>
        <row r="73">
          <cell r="A73">
            <v>0.68521983200000003</v>
          </cell>
          <cell r="B73">
            <v>1212</v>
          </cell>
        </row>
        <row r="74">
          <cell r="A74">
            <v>0.58141962400000002</v>
          </cell>
          <cell r="B74">
            <v>1088</v>
          </cell>
        </row>
        <row r="75">
          <cell r="A75">
            <v>0.58875739599999999</v>
          </cell>
          <cell r="B75">
            <v>1018</v>
          </cell>
        </row>
        <row r="76">
          <cell r="A76">
            <v>0.79480519500000002</v>
          </cell>
          <cell r="B76">
            <v>1155</v>
          </cell>
        </row>
        <row r="77">
          <cell r="A77">
            <v>0.60079939999999998</v>
          </cell>
          <cell r="B77">
            <v>1258</v>
          </cell>
        </row>
        <row r="78">
          <cell r="A78">
            <v>0.88884688099999998</v>
          </cell>
          <cell r="B78">
            <v>1224</v>
          </cell>
        </row>
        <row r="79">
          <cell r="A79">
            <v>0.55605127600000004</v>
          </cell>
          <cell r="B79">
            <v>1353</v>
          </cell>
        </row>
        <row r="80">
          <cell r="A80">
            <v>0.11122607299999999</v>
          </cell>
          <cell r="B80">
            <v>1514</v>
          </cell>
        </row>
        <row r="81">
          <cell r="A81">
            <v>0.95624067599999996</v>
          </cell>
          <cell r="B81">
            <v>1194</v>
          </cell>
        </row>
        <row r="82">
          <cell r="A82">
            <v>0.13063439099999999</v>
          </cell>
          <cell r="B82">
            <v>1537</v>
          </cell>
        </row>
        <row r="83">
          <cell r="A83">
            <v>0.48478683099999997</v>
          </cell>
          <cell r="B83">
            <v>1116</v>
          </cell>
        </row>
        <row r="84">
          <cell r="A84">
            <v>0.39890460999999999</v>
          </cell>
          <cell r="B84">
            <v>1461</v>
          </cell>
        </row>
        <row r="85">
          <cell r="A85">
            <v>0.42479213900000001</v>
          </cell>
          <cell r="B85">
            <v>1093</v>
          </cell>
        </row>
        <row r="86">
          <cell r="A86">
            <v>0.948637862</v>
          </cell>
          <cell r="B86">
            <v>1303</v>
          </cell>
        </row>
        <row r="87">
          <cell r="A87">
            <v>0.81761827099999995</v>
          </cell>
          <cell r="B87">
            <v>1278</v>
          </cell>
        </row>
        <row r="88">
          <cell r="A88">
            <v>6.7568682000000005E-2</v>
          </cell>
          <cell r="B88">
            <v>1520</v>
          </cell>
        </row>
        <row r="89">
          <cell r="A89">
            <v>0.80922142500000005</v>
          </cell>
          <cell r="B89">
            <v>1231</v>
          </cell>
        </row>
        <row r="90">
          <cell r="A90">
            <v>0.50768213500000003</v>
          </cell>
          <cell r="B90">
            <v>1313</v>
          </cell>
        </row>
        <row r="91">
          <cell r="A91">
            <v>0.33939000600000002</v>
          </cell>
          <cell r="B91">
            <v>1480</v>
          </cell>
        </row>
        <row r="92">
          <cell r="A92">
            <v>0.787072243</v>
          </cell>
          <cell r="B92">
            <v>1277</v>
          </cell>
        </row>
        <row r="93">
          <cell r="A93">
            <v>0.79857397500000005</v>
          </cell>
          <cell r="B93">
            <v>1367</v>
          </cell>
        </row>
        <row r="94">
          <cell r="A94">
            <v>0.200345194</v>
          </cell>
          <cell r="B94">
            <v>1445</v>
          </cell>
        </row>
        <row r="95">
          <cell r="A95">
            <v>0.71192880199999997</v>
          </cell>
          <cell r="B95">
            <v>1344</v>
          </cell>
        </row>
        <row r="96">
          <cell r="A96">
            <v>0.38278173900000001</v>
          </cell>
          <cell r="B96">
            <v>1412</v>
          </cell>
        </row>
        <row r="97">
          <cell r="A97">
            <v>0.44984802400000001</v>
          </cell>
          <cell r="B97">
            <v>1323</v>
          </cell>
        </row>
        <row r="98">
          <cell r="A98">
            <v>0.83014102300000003</v>
          </cell>
          <cell r="B98">
            <v>1207</v>
          </cell>
        </row>
        <row r="99">
          <cell r="A99">
            <v>0.76996670300000003</v>
          </cell>
          <cell r="B99">
            <v>1212</v>
          </cell>
        </row>
        <row r="100">
          <cell r="A100">
            <v>0.33520950599999999</v>
          </cell>
          <cell r="B100">
            <v>1396</v>
          </cell>
        </row>
        <row r="101">
          <cell r="A101">
            <v>0.17096551700000001</v>
          </cell>
          <cell r="B101">
            <v>1513</v>
          </cell>
        </row>
        <row r="102">
          <cell r="A102">
            <v>0.60941176500000005</v>
          </cell>
          <cell r="B102">
            <v>857</v>
          </cell>
        </row>
        <row r="103">
          <cell r="A103">
            <v>0.64102564100000003</v>
          </cell>
          <cell r="B103">
            <v>1045</v>
          </cell>
        </row>
        <row r="104">
          <cell r="A104">
            <v>0.99853886599999997</v>
          </cell>
          <cell r="B104">
            <v>913</v>
          </cell>
        </row>
        <row r="105">
          <cell r="A105">
            <v>0.73946957899999999</v>
          </cell>
          <cell r="B105">
            <v>1136</v>
          </cell>
        </row>
        <row r="106">
          <cell r="A106">
            <v>0.78687821599999996</v>
          </cell>
          <cell r="B106">
            <v>1256</v>
          </cell>
        </row>
        <row r="107">
          <cell r="A107">
            <v>0.67846353000000004</v>
          </cell>
          <cell r="B107">
            <v>1256</v>
          </cell>
        </row>
        <row r="108">
          <cell r="A108">
            <v>0.78090397499999997</v>
          </cell>
          <cell r="B108">
            <v>1099</v>
          </cell>
        </row>
        <row r="109">
          <cell r="A109">
            <v>0.66449511400000005</v>
          </cell>
          <cell r="B109">
            <v>1068</v>
          </cell>
        </row>
        <row r="110">
          <cell r="A110">
            <v>0.623034949</v>
          </cell>
          <cell r="B110">
            <v>1213</v>
          </cell>
        </row>
        <row r="111">
          <cell r="A111">
            <v>0.59067500500000003</v>
          </cell>
          <cell r="B111">
            <v>1263</v>
          </cell>
        </row>
        <row r="112">
          <cell r="A112">
            <v>0.572924879</v>
          </cell>
          <cell r="B112">
            <v>1211</v>
          </cell>
        </row>
        <row r="113">
          <cell r="A113">
            <v>0.72668974500000005</v>
          </cell>
          <cell r="B113">
            <v>1182</v>
          </cell>
        </row>
        <row r="114">
          <cell r="A114">
            <v>0.88324409000000004</v>
          </cell>
          <cell r="B114">
            <v>1101</v>
          </cell>
        </row>
        <row r="115">
          <cell r="A115">
            <v>0.40557370399999998</v>
          </cell>
          <cell r="B115">
            <v>1304</v>
          </cell>
        </row>
        <row r="116">
          <cell r="A116">
            <v>0.86426380400000002</v>
          </cell>
          <cell r="B116">
            <v>1208</v>
          </cell>
        </row>
        <row r="117">
          <cell r="A117">
            <v>0.625</v>
          </cell>
          <cell r="B117">
            <v>1007</v>
          </cell>
        </row>
        <row r="118">
          <cell r="A118">
            <v>0.96296296299999995</v>
          </cell>
          <cell r="B118">
            <v>905</v>
          </cell>
        </row>
        <row r="119">
          <cell r="A119">
            <v>0.47788697800000002</v>
          </cell>
          <cell r="B119">
            <v>937</v>
          </cell>
        </row>
        <row r="120">
          <cell r="A120">
            <v>0.67312870199999997</v>
          </cell>
          <cell r="B120">
            <v>1296</v>
          </cell>
        </row>
        <row r="121">
          <cell r="A121">
            <v>0.675076923</v>
          </cell>
          <cell r="B121">
            <v>1059</v>
          </cell>
        </row>
        <row r="122">
          <cell r="A122">
            <v>0.61852481800000003</v>
          </cell>
          <cell r="B122">
            <v>1223</v>
          </cell>
        </row>
        <row r="123">
          <cell r="A123">
            <v>0.86961245899999995</v>
          </cell>
          <cell r="B123">
            <v>1087</v>
          </cell>
        </row>
        <row r="124">
          <cell r="A124">
            <v>0.81757656499999998</v>
          </cell>
          <cell r="B124">
            <v>1254</v>
          </cell>
        </row>
        <row r="125">
          <cell r="A125">
            <v>0.93811881200000002</v>
          </cell>
          <cell r="B125">
            <v>994</v>
          </cell>
        </row>
        <row r="126">
          <cell r="A126">
            <v>0.66458672500000004</v>
          </cell>
          <cell r="B126">
            <v>1280</v>
          </cell>
        </row>
        <row r="127">
          <cell r="A127">
            <v>0.51390374299999997</v>
          </cell>
          <cell r="B127">
            <v>1050</v>
          </cell>
        </row>
        <row r="128">
          <cell r="A128">
            <v>0.60056061699999996</v>
          </cell>
          <cell r="B128">
            <v>1230</v>
          </cell>
        </row>
        <row r="129">
          <cell r="A129">
            <v>0.92836398799999997</v>
          </cell>
          <cell r="B129">
            <v>1074</v>
          </cell>
        </row>
        <row r="130">
          <cell r="A130">
            <v>0.83684950800000002</v>
          </cell>
          <cell r="B130">
            <v>1178</v>
          </cell>
        </row>
        <row r="131">
          <cell r="A131">
            <v>0.969348659</v>
          </cell>
          <cell r="B131">
            <v>1075</v>
          </cell>
        </row>
        <row r="132">
          <cell r="A132">
            <v>0.34090480699999998</v>
          </cell>
          <cell r="B132">
            <v>1184</v>
          </cell>
        </row>
        <row r="133">
          <cell r="A133">
            <v>0.43155893499999998</v>
          </cell>
          <cell r="B133">
            <v>1037</v>
          </cell>
        </row>
        <row r="134">
          <cell r="A134">
            <v>0.63812785400000005</v>
          </cell>
          <cell r="B134">
            <v>1155</v>
          </cell>
        </row>
        <row r="135">
          <cell r="A135">
            <v>0.84482047000000005</v>
          </cell>
          <cell r="B135">
            <v>1180</v>
          </cell>
        </row>
        <row r="136">
          <cell r="A136">
            <v>0.47221612099999999</v>
          </cell>
          <cell r="B136">
            <v>1166</v>
          </cell>
        </row>
        <row r="137">
          <cell r="A137">
            <v>0.62951554200000004</v>
          </cell>
          <cell r="B137">
            <v>1184</v>
          </cell>
        </row>
        <row r="138">
          <cell r="A138">
            <v>0.96952344000000001</v>
          </cell>
          <cell r="B138">
            <v>1123</v>
          </cell>
        </row>
        <row r="139">
          <cell r="A139">
            <v>0.67645474100000003</v>
          </cell>
          <cell r="B139">
            <v>1133</v>
          </cell>
        </row>
        <row r="140">
          <cell r="A140">
            <v>0.85144376899999996</v>
          </cell>
          <cell r="B140">
            <v>1072</v>
          </cell>
        </row>
        <row r="141">
          <cell r="A141">
            <v>0.76662063499999999</v>
          </cell>
          <cell r="B141">
            <v>1237</v>
          </cell>
        </row>
        <row r="142">
          <cell r="A142">
            <v>0.73533068099999999</v>
          </cell>
          <cell r="B142">
            <v>1254</v>
          </cell>
        </row>
        <row r="143">
          <cell r="A143">
            <v>0.75743524100000004</v>
          </cell>
          <cell r="B143">
            <v>1116</v>
          </cell>
        </row>
        <row r="144">
          <cell r="A144">
            <v>0.95365278899999995</v>
          </cell>
          <cell r="B144">
            <v>1034</v>
          </cell>
        </row>
        <row r="145">
          <cell r="A145">
            <v>0.451697128</v>
          </cell>
          <cell r="B145">
            <v>1242</v>
          </cell>
        </row>
        <row r="146">
          <cell r="A146">
            <v>0.74672131100000005</v>
          </cell>
          <cell r="B146">
            <v>1082</v>
          </cell>
        </row>
        <row r="147">
          <cell r="A147">
            <v>0.55419658900000002</v>
          </cell>
          <cell r="B147">
            <v>1296</v>
          </cell>
        </row>
        <row r="148">
          <cell r="A148">
            <v>0.63115692999999995</v>
          </cell>
          <cell r="B148">
            <v>985</v>
          </cell>
        </row>
        <row r="149">
          <cell r="A149">
            <v>0.71131527999999999</v>
          </cell>
          <cell r="B149">
            <v>1250</v>
          </cell>
        </row>
        <row r="150">
          <cell r="A150">
            <v>0.59405529000000001</v>
          </cell>
          <cell r="B150">
            <v>1309</v>
          </cell>
        </row>
        <row r="151">
          <cell r="A151">
            <v>0.72727272700000001</v>
          </cell>
          <cell r="B151">
            <v>1117</v>
          </cell>
        </row>
        <row r="152">
          <cell r="A152">
            <v>0.81390234299999997</v>
          </cell>
          <cell r="B152">
            <v>1283</v>
          </cell>
        </row>
        <row r="153">
          <cell r="A153">
            <v>0.54053379899999998</v>
          </cell>
          <cell r="B153">
            <v>1050</v>
          </cell>
        </row>
        <row r="154">
          <cell r="A154">
            <v>0.86617100400000002</v>
          </cell>
          <cell r="B154">
            <v>1128</v>
          </cell>
        </row>
        <row r="155">
          <cell r="A155">
            <v>0.58309482899999998</v>
          </cell>
          <cell r="B155">
            <v>1165</v>
          </cell>
        </row>
        <row r="156">
          <cell r="A156">
            <v>0.66900135599999999</v>
          </cell>
          <cell r="B156">
            <v>1103</v>
          </cell>
        </row>
        <row r="157">
          <cell r="A157">
            <v>0.49886208500000001</v>
          </cell>
          <cell r="B157">
            <v>1157</v>
          </cell>
        </row>
        <row r="158">
          <cell r="A158">
            <v>0.57233971100000003</v>
          </cell>
          <cell r="B158">
            <v>984</v>
          </cell>
        </row>
        <row r="159">
          <cell r="A159">
            <v>0.94270920300000005</v>
          </cell>
          <cell r="B159">
            <v>1000</v>
          </cell>
        </row>
        <row r="160">
          <cell r="A160">
            <v>0.79804161600000001</v>
          </cell>
          <cell r="B160">
            <v>1022</v>
          </cell>
        </row>
        <row r="161">
          <cell r="A161">
            <v>0.63930084700000001</v>
          </cell>
          <cell r="B161">
            <v>1055</v>
          </cell>
        </row>
        <row r="162">
          <cell r="A162">
            <v>0.88650306700000003</v>
          </cell>
          <cell r="B162">
            <v>1154</v>
          </cell>
        </row>
        <row r="163">
          <cell r="A163">
            <v>0.899785638</v>
          </cell>
          <cell r="B163">
            <v>1363</v>
          </cell>
        </row>
        <row r="164">
          <cell r="A164">
            <v>0.53418124</v>
          </cell>
          <cell r="B164">
            <v>1054</v>
          </cell>
        </row>
        <row r="165">
          <cell r="A165">
            <v>0.98679471799999996</v>
          </cell>
          <cell r="B165">
            <v>1073</v>
          </cell>
        </row>
        <row r="166">
          <cell r="A166">
            <v>0.85865761799999996</v>
          </cell>
          <cell r="B166">
            <v>1282</v>
          </cell>
        </row>
        <row r="167">
          <cell r="A167">
            <v>0.54064193400000005</v>
          </cell>
          <cell r="B167">
            <v>1287</v>
          </cell>
        </row>
        <row r="168">
          <cell r="A168">
            <v>0.74220963200000001</v>
          </cell>
          <cell r="B168">
            <v>1250</v>
          </cell>
        </row>
        <row r="169">
          <cell r="A169">
            <v>0.70583038899999995</v>
          </cell>
          <cell r="B169">
            <v>1119</v>
          </cell>
        </row>
        <row r="170">
          <cell r="A170">
            <v>0.88936170199999998</v>
          </cell>
          <cell r="B170">
            <v>1049</v>
          </cell>
        </row>
        <row r="171">
          <cell r="A171">
            <v>0.80783264399999999</v>
          </cell>
          <cell r="B171">
            <v>1088</v>
          </cell>
        </row>
        <row r="172">
          <cell r="A172">
            <v>0.83974833500000001</v>
          </cell>
          <cell r="B172">
            <v>1197</v>
          </cell>
        </row>
        <row r="173">
          <cell r="A173">
            <v>0.73712574900000005</v>
          </cell>
          <cell r="B173">
            <v>1229</v>
          </cell>
        </row>
        <row r="174">
          <cell r="A174">
            <v>0.71146496800000003</v>
          </cell>
          <cell r="B174">
            <v>1124</v>
          </cell>
        </row>
        <row r="175">
          <cell r="A175">
            <v>0.82207578299999995</v>
          </cell>
          <cell r="B175">
            <v>1074</v>
          </cell>
        </row>
        <row r="176">
          <cell r="A176">
            <v>0.72808320999999998</v>
          </cell>
          <cell r="B176">
            <v>1389</v>
          </cell>
        </row>
        <row r="177">
          <cell r="A177">
            <v>0.97564102600000002</v>
          </cell>
          <cell r="B177">
            <v>1040</v>
          </cell>
        </row>
        <row r="178">
          <cell r="A178">
            <v>0.76142131999999996</v>
          </cell>
          <cell r="B178">
            <v>966</v>
          </cell>
        </row>
        <row r="179">
          <cell r="A179">
            <v>0.81110643699999996</v>
          </cell>
          <cell r="B179">
            <v>1233</v>
          </cell>
        </row>
        <row r="180">
          <cell r="A180">
            <v>0.76107899800000001</v>
          </cell>
          <cell r="B180">
            <v>1232</v>
          </cell>
        </row>
        <row r="181">
          <cell r="A181">
            <v>0.92222403399999997</v>
          </cell>
          <cell r="B181">
            <v>1226</v>
          </cell>
        </row>
        <row r="182">
          <cell r="A182">
            <v>0.62783342099999995</v>
          </cell>
          <cell r="B182">
            <v>1210</v>
          </cell>
        </row>
        <row r="183">
          <cell r="A183">
            <v>0.71761657999999995</v>
          </cell>
          <cell r="B183">
            <v>1090</v>
          </cell>
        </row>
        <row r="184">
          <cell r="A184">
            <v>0.78968655200000004</v>
          </cell>
          <cell r="B184">
            <v>1115</v>
          </cell>
        </row>
        <row r="185">
          <cell r="A185">
            <v>0.68156786499999999</v>
          </cell>
          <cell r="B185">
            <v>1060</v>
          </cell>
        </row>
        <row r="186">
          <cell r="A186">
            <v>0.70673546200000004</v>
          </cell>
          <cell r="B186">
            <v>1206</v>
          </cell>
        </row>
        <row r="187">
          <cell r="A187">
            <v>0.80660835799999997</v>
          </cell>
          <cell r="B187">
            <v>1246</v>
          </cell>
        </row>
        <row r="188">
          <cell r="A188">
            <v>0.71159874599999995</v>
          </cell>
          <cell r="B188">
            <v>1175</v>
          </cell>
        </row>
        <row r="189">
          <cell r="A189">
            <v>0.64126081899999998</v>
          </cell>
          <cell r="B189">
            <v>1288</v>
          </cell>
        </row>
        <row r="190">
          <cell r="A190">
            <v>0.86923076899999996</v>
          </cell>
          <cell r="B190">
            <v>1119</v>
          </cell>
        </row>
        <row r="191">
          <cell r="A191">
            <v>0.97701149399999998</v>
          </cell>
          <cell r="B191">
            <v>1109</v>
          </cell>
        </row>
        <row r="192">
          <cell r="A192">
            <v>0.49675324700000001</v>
          </cell>
          <cell r="B192">
            <v>1088</v>
          </cell>
        </row>
        <row r="193">
          <cell r="A193">
            <v>0.126752103</v>
          </cell>
          <cell r="B193">
            <v>1486</v>
          </cell>
        </row>
        <row r="194">
          <cell r="A194">
            <v>0.73273396000000002</v>
          </cell>
          <cell r="B194">
            <v>1238</v>
          </cell>
        </row>
        <row r="195">
          <cell r="A195">
            <v>0.70573294600000003</v>
          </cell>
          <cell r="B195">
            <v>910</v>
          </cell>
        </row>
        <row r="196">
          <cell r="A196">
            <v>0.78760445700000004</v>
          </cell>
          <cell r="B196">
            <v>1120</v>
          </cell>
        </row>
        <row r="197">
          <cell r="A197">
            <v>0.44444444399999999</v>
          </cell>
          <cell r="B197">
            <v>980</v>
          </cell>
        </row>
        <row r="198">
          <cell r="A198">
            <v>0.88882138499999996</v>
          </cell>
          <cell r="B198">
            <v>1410</v>
          </cell>
        </row>
        <row r="199">
          <cell r="A199">
            <v>0.93381294999999997</v>
          </cell>
          <cell r="B199">
            <v>929</v>
          </cell>
        </row>
        <row r="200">
          <cell r="A200">
            <v>0.99410145500000002</v>
          </cell>
          <cell r="B200">
            <v>1136</v>
          </cell>
        </row>
        <row r="201">
          <cell r="A201">
            <v>0.57014388500000002</v>
          </cell>
          <cell r="B201">
            <v>996</v>
          </cell>
        </row>
        <row r="202">
          <cell r="A202">
            <v>0.92096597099999999</v>
          </cell>
          <cell r="B202">
            <v>950</v>
          </cell>
        </row>
        <row r="203">
          <cell r="A203">
            <v>0.76447552399999996</v>
          </cell>
          <cell r="B203">
            <v>1244</v>
          </cell>
        </row>
        <row r="204">
          <cell r="A204">
            <v>0.55643739000000003</v>
          </cell>
          <cell r="B204">
            <v>1014</v>
          </cell>
        </row>
        <row r="205">
          <cell r="A205">
            <v>1</v>
          </cell>
          <cell r="B205">
            <v>1020</v>
          </cell>
        </row>
        <row r="206">
          <cell r="A206">
            <v>0.83788254799999995</v>
          </cell>
          <cell r="B206">
            <v>1068</v>
          </cell>
        </row>
        <row r="207">
          <cell r="A207">
            <v>0.73456221200000005</v>
          </cell>
          <cell r="B207">
            <v>1016</v>
          </cell>
        </row>
        <row r="208">
          <cell r="A208">
            <v>0.690260133</v>
          </cell>
          <cell r="B208">
            <v>1011</v>
          </cell>
        </row>
        <row r="209">
          <cell r="A209">
            <v>0.89841798500000003</v>
          </cell>
          <cell r="B209">
            <v>1047</v>
          </cell>
        </row>
        <row r="210">
          <cell r="A210">
            <v>0.64615384600000003</v>
          </cell>
          <cell r="B210">
            <v>1049</v>
          </cell>
        </row>
        <row r="211">
          <cell r="A211">
            <v>0.85569214299999996</v>
          </cell>
          <cell r="B211">
            <v>980</v>
          </cell>
        </row>
        <row r="212">
          <cell r="A212">
            <v>0.93587521699999998</v>
          </cell>
          <cell r="B212">
            <v>1208</v>
          </cell>
        </row>
        <row r="213">
          <cell r="A213">
            <v>0.32706222899999998</v>
          </cell>
          <cell r="B213">
            <v>1248</v>
          </cell>
        </row>
        <row r="214">
          <cell r="A214">
            <v>0.54339739600000003</v>
          </cell>
          <cell r="B214">
            <v>1345</v>
          </cell>
        </row>
        <row r="215">
          <cell r="A215">
            <v>0.73884297499999996</v>
          </cell>
          <cell r="B215">
            <v>1149</v>
          </cell>
        </row>
        <row r="216">
          <cell r="A216">
            <v>0.35714285699999998</v>
          </cell>
          <cell r="B216">
            <v>980</v>
          </cell>
        </row>
        <row r="217">
          <cell r="A217">
            <v>0.66998506700000005</v>
          </cell>
          <cell r="B217">
            <v>1043</v>
          </cell>
        </row>
        <row r="218">
          <cell r="A218">
            <v>0.62382864800000004</v>
          </cell>
          <cell r="B218">
            <v>1044</v>
          </cell>
        </row>
        <row r="219">
          <cell r="A219">
            <v>0.951785714</v>
          </cell>
          <cell r="B219">
            <v>1145</v>
          </cell>
        </row>
        <row r="220">
          <cell r="A220">
            <v>0.98636926899999999</v>
          </cell>
          <cell r="B220">
            <v>1014</v>
          </cell>
        </row>
        <row r="221">
          <cell r="A221">
            <v>0.97029703</v>
          </cell>
          <cell r="B221">
            <v>1140</v>
          </cell>
        </row>
        <row r="222">
          <cell r="A222">
            <v>0.84994964799999995</v>
          </cell>
          <cell r="B222">
            <v>1285</v>
          </cell>
        </row>
        <row r="223">
          <cell r="A223">
            <v>0.550359712</v>
          </cell>
          <cell r="B223">
            <v>965</v>
          </cell>
        </row>
        <row r="224">
          <cell r="A224">
            <v>0.544165758</v>
          </cell>
          <cell r="B224">
            <v>1171</v>
          </cell>
        </row>
        <row r="225">
          <cell r="A225">
            <v>0.40508369500000002</v>
          </cell>
          <cell r="B225">
            <v>1089</v>
          </cell>
        </row>
        <row r="226">
          <cell r="A226">
            <v>0.74479600300000004</v>
          </cell>
          <cell r="B226">
            <v>1077</v>
          </cell>
        </row>
        <row r="227">
          <cell r="A227">
            <v>0.130245049</v>
          </cell>
          <cell r="B227">
            <v>1446</v>
          </cell>
        </row>
        <row r="228">
          <cell r="A228">
            <v>8.0156848000000003E-2</v>
          </cell>
          <cell r="B228">
            <v>1514</v>
          </cell>
        </row>
        <row r="229">
          <cell r="A229">
            <v>6.8312155999999999E-2</v>
          </cell>
          <cell r="B229">
            <v>1500</v>
          </cell>
        </row>
        <row r="230">
          <cell r="A230">
            <v>0.72897727300000004</v>
          </cell>
          <cell r="B230">
            <v>1225</v>
          </cell>
        </row>
        <row r="231">
          <cell r="A231">
            <v>0.76333398900000005</v>
          </cell>
          <cell r="B231">
            <v>1292</v>
          </cell>
        </row>
        <row r="232">
          <cell r="A232">
            <v>0.77294531499999997</v>
          </cell>
          <cell r="B232">
            <v>1207</v>
          </cell>
        </row>
        <row r="233">
          <cell r="A233">
            <v>0.71855403900000003</v>
          </cell>
          <cell r="B233">
            <v>1141</v>
          </cell>
        </row>
        <row r="234">
          <cell r="A234">
            <v>0.44287063300000001</v>
          </cell>
          <cell r="B234">
            <v>1381</v>
          </cell>
        </row>
        <row r="235">
          <cell r="A235">
            <v>0.655376132</v>
          </cell>
          <cell r="B235">
            <v>1274</v>
          </cell>
        </row>
        <row r="236">
          <cell r="A236">
            <v>9.8216390000000001E-2</v>
          </cell>
          <cell r="B236">
            <v>1494</v>
          </cell>
        </row>
        <row r="237">
          <cell r="A237">
            <v>0.197373358</v>
          </cell>
          <cell r="B237">
            <v>1435</v>
          </cell>
        </row>
        <row r="238">
          <cell r="A238">
            <v>0.48435413100000002</v>
          </cell>
          <cell r="B238">
            <v>1340</v>
          </cell>
        </row>
        <row r="239">
          <cell r="A239">
            <v>0.41668219899999998</v>
          </cell>
          <cell r="B239">
            <v>1339</v>
          </cell>
        </row>
        <row r="240">
          <cell r="A240">
            <v>0.47484673599999999</v>
          </cell>
          <cell r="B240">
            <v>1359</v>
          </cell>
        </row>
        <row r="241">
          <cell r="A241">
            <v>0.805962607</v>
          </cell>
          <cell r="B241">
            <v>1263</v>
          </cell>
        </row>
        <row r="242">
          <cell r="A242">
            <v>0.72294138799999996</v>
          </cell>
          <cell r="B242">
            <v>1263</v>
          </cell>
        </row>
        <row r="243">
          <cell r="A243">
            <v>0.58782473800000001</v>
          </cell>
          <cell r="B243">
            <v>1268</v>
          </cell>
        </row>
        <row r="244">
          <cell r="A244">
            <v>0.210957324</v>
          </cell>
          <cell r="B244">
            <v>1354</v>
          </cell>
        </row>
        <row r="245">
          <cell r="A245">
            <v>0.82254901999999996</v>
          </cell>
          <cell r="B245">
            <v>1159</v>
          </cell>
        </row>
        <row r="246">
          <cell r="A246">
            <v>0.85207986700000005</v>
          </cell>
          <cell r="B246">
            <v>1216</v>
          </cell>
        </row>
        <row r="247">
          <cell r="A247">
            <v>0.38290258399999999</v>
          </cell>
          <cell r="B247">
            <v>1422</v>
          </cell>
        </row>
        <row r="248">
          <cell r="A248">
            <v>0.66002874199999995</v>
          </cell>
          <cell r="B248">
            <v>1332</v>
          </cell>
        </row>
        <row r="249">
          <cell r="A249">
            <v>0.19728442600000001</v>
          </cell>
          <cell r="B249">
            <v>1480</v>
          </cell>
        </row>
        <row r="250">
          <cell r="A250">
            <v>0.847440847</v>
          </cell>
          <cell r="B250">
            <v>1197</v>
          </cell>
        </row>
        <row r="251">
          <cell r="A251">
            <v>0.139051808</v>
          </cell>
          <cell r="B251">
            <v>1513</v>
          </cell>
        </row>
        <row r="252">
          <cell r="A252">
            <v>0.85371145199999998</v>
          </cell>
          <cell r="B252">
            <v>1226</v>
          </cell>
        </row>
        <row r="253">
          <cell r="A253">
            <v>0.832568105</v>
          </cell>
          <cell r="B253">
            <v>1231</v>
          </cell>
        </row>
        <row r="254">
          <cell r="A254">
            <v>0.71331348400000005</v>
          </cell>
          <cell r="B254">
            <v>1321</v>
          </cell>
        </row>
        <row r="255">
          <cell r="A255">
            <v>9.9869166999999995E-2</v>
          </cell>
          <cell r="B255">
            <v>1527</v>
          </cell>
        </row>
        <row r="256">
          <cell r="A256">
            <v>0.68369351700000003</v>
          </cell>
          <cell r="B256">
            <v>1030</v>
          </cell>
        </row>
        <row r="257">
          <cell r="A257">
            <v>0.87402799399999997</v>
          </cell>
          <cell r="B257">
            <v>1177</v>
          </cell>
        </row>
        <row r="258">
          <cell r="A258">
            <v>0.71060672199999997</v>
          </cell>
          <cell r="B258">
            <v>1087</v>
          </cell>
        </row>
        <row r="259">
          <cell r="A259">
            <v>0.71307480400000001</v>
          </cell>
          <cell r="B259">
            <v>1205</v>
          </cell>
        </row>
        <row r="260">
          <cell r="A260">
            <v>0.69137389299999996</v>
          </cell>
          <cell r="B260">
            <v>1250</v>
          </cell>
        </row>
        <row r="261">
          <cell r="A261">
            <v>0.80139130400000003</v>
          </cell>
          <cell r="B261">
            <v>1136</v>
          </cell>
        </row>
        <row r="262">
          <cell r="A262">
            <v>0.79087647400000005</v>
          </cell>
          <cell r="B262">
            <v>1219</v>
          </cell>
        </row>
        <row r="263">
          <cell r="A263">
            <v>0.75854782899999995</v>
          </cell>
          <cell r="B263">
            <v>1237</v>
          </cell>
        </row>
        <row r="264">
          <cell r="A264">
            <v>0.66556108300000005</v>
          </cell>
          <cell r="B264">
            <v>1033</v>
          </cell>
        </row>
        <row r="265">
          <cell r="A265">
            <v>0.37329093800000002</v>
          </cell>
          <cell r="B265">
            <v>1072</v>
          </cell>
        </row>
        <row r="266">
          <cell r="A266">
            <v>0.50964812699999995</v>
          </cell>
          <cell r="B266">
            <v>1144</v>
          </cell>
        </row>
        <row r="267">
          <cell r="A267">
            <v>0.90986601700000003</v>
          </cell>
          <cell r="B267">
            <v>1243</v>
          </cell>
        </row>
        <row r="268">
          <cell r="A268">
            <v>0.22277227699999999</v>
          </cell>
          <cell r="B268">
            <v>1491</v>
          </cell>
        </row>
        <row r="269">
          <cell r="A269">
            <v>0.63058186699999996</v>
          </cell>
          <cell r="B269">
            <v>1192</v>
          </cell>
        </row>
        <row r="270">
          <cell r="A270">
            <v>0.82568807300000002</v>
          </cell>
          <cell r="B270">
            <v>1191</v>
          </cell>
        </row>
        <row r="271">
          <cell r="A271">
            <v>0.61797752800000005</v>
          </cell>
          <cell r="B271">
            <v>1320</v>
          </cell>
        </row>
        <row r="272">
          <cell r="A272">
            <v>0.89827315500000005</v>
          </cell>
          <cell r="B272">
            <v>1197</v>
          </cell>
        </row>
        <row r="273">
          <cell r="A273">
            <v>0.28213359700000001</v>
          </cell>
          <cell r="B273">
            <v>1424</v>
          </cell>
        </row>
        <row r="274">
          <cell r="A274">
            <v>0.483615819</v>
          </cell>
          <cell r="B274">
            <v>1170</v>
          </cell>
        </row>
        <row r="275">
          <cell r="A275">
            <v>0.91876046899999997</v>
          </cell>
          <cell r="B275">
            <v>1244</v>
          </cell>
        </row>
        <row r="276">
          <cell r="A276">
            <v>0.91360691100000002</v>
          </cell>
          <cell r="B276">
            <v>1185</v>
          </cell>
        </row>
        <row r="277">
          <cell r="A277">
            <v>0.90482154000000004</v>
          </cell>
          <cell r="B277">
            <v>1220</v>
          </cell>
        </row>
        <row r="278">
          <cell r="A278">
            <v>0.52149093400000002</v>
          </cell>
          <cell r="B278">
            <v>1373</v>
          </cell>
        </row>
        <row r="279">
          <cell r="A279">
            <v>0.93781094499999995</v>
          </cell>
          <cell r="B279">
            <v>1190</v>
          </cell>
        </row>
        <row r="280">
          <cell r="A280">
            <v>0.84942698299999997</v>
          </cell>
          <cell r="B280">
            <v>1296</v>
          </cell>
        </row>
        <row r="281">
          <cell r="A281">
            <v>0.94069289499999997</v>
          </cell>
          <cell r="B281">
            <v>1190</v>
          </cell>
        </row>
        <row r="282">
          <cell r="A282">
            <v>0.98466780200000004</v>
          </cell>
          <cell r="B282">
            <v>1050</v>
          </cell>
        </row>
        <row r="283">
          <cell r="A283">
            <v>0.53246753199999997</v>
          </cell>
          <cell r="B283">
            <v>1050</v>
          </cell>
        </row>
        <row r="284">
          <cell r="A284">
            <v>1</v>
          </cell>
          <cell r="B284">
            <v>1047</v>
          </cell>
        </row>
        <row r="285">
          <cell r="A285">
            <v>0.48868778299999999</v>
          </cell>
          <cell r="B285">
            <v>1120</v>
          </cell>
        </row>
        <row r="286">
          <cell r="A286">
            <v>0.57968476400000002</v>
          </cell>
          <cell r="B286">
            <v>1120</v>
          </cell>
        </row>
        <row r="287">
          <cell r="A287">
            <v>0.59538784099999997</v>
          </cell>
          <cell r="B287">
            <v>942</v>
          </cell>
        </row>
        <row r="288">
          <cell r="A288">
            <v>0.70909090900000005</v>
          </cell>
          <cell r="B288">
            <v>1008</v>
          </cell>
        </row>
        <row r="289">
          <cell r="A289">
            <v>0.87753673899999995</v>
          </cell>
          <cell r="B289">
            <v>1090</v>
          </cell>
        </row>
        <row r="290">
          <cell r="A290">
            <v>1</v>
          </cell>
          <cell r="B290">
            <v>1250</v>
          </cell>
        </row>
        <row r="291">
          <cell r="A291">
            <v>0.66313933000000003</v>
          </cell>
          <cell r="B291">
            <v>1190</v>
          </cell>
        </row>
        <row r="292">
          <cell r="A292">
            <v>0.98001480399999996</v>
          </cell>
          <cell r="B292">
            <v>1020</v>
          </cell>
        </row>
        <row r="293">
          <cell r="A293">
            <v>0.58870660100000005</v>
          </cell>
          <cell r="B293">
            <v>1212</v>
          </cell>
        </row>
        <row r="294">
          <cell r="A294">
            <v>0.58743169399999995</v>
          </cell>
          <cell r="B294">
            <v>1020</v>
          </cell>
        </row>
        <row r="295">
          <cell r="A295">
            <v>0.65860892800000004</v>
          </cell>
          <cell r="B295">
            <v>1120</v>
          </cell>
        </row>
        <row r="296">
          <cell r="A296">
            <v>0.9</v>
          </cell>
          <cell r="B296">
            <v>998</v>
          </cell>
        </row>
        <row r="297">
          <cell r="A297">
            <v>0.64100418400000003</v>
          </cell>
          <cell r="B297">
            <v>983</v>
          </cell>
        </row>
        <row r="298">
          <cell r="A298">
            <v>0.52690583000000002</v>
          </cell>
          <cell r="B298">
            <v>1018</v>
          </cell>
        </row>
        <row r="299">
          <cell r="A299">
            <v>0.14869739500000001</v>
          </cell>
          <cell r="B299">
            <v>1125</v>
          </cell>
        </row>
        <row r="300">
          <cell r="A300">
            <v>0.69052150700000003</v>
          </cell>
          <cell r="B300">
            <v>1218</v>
          </cell>
        </row>
        <row r="301">
          <cell r="A301">
            <v>0.81465825599999997</v>
          </cell>
          <cell r="B301">
            <v>1326</v>
          </cell>
        </row>
        <row r="302">
          <cell r="A302">
            <v>0.75129533699999995</v>
          </cell>
          <cell r="B302">
            <v>1150</v>
          </cell>
        </row>
        <row r="303">
          <cell r="A303">
            <v>0.99716177900000003</v>
          </cell>
          <cell r="B303">
            <v>1084</v>
          </cell>
        </row>
        <row r="304">
          <cell r="A304">
            <v>0.91545893700000003</v>
          </cell>
          <cell r="B304">
            <v>1104</v>
          </cell>
        </row>
        <row r="305">
          <cell r="A305">
            <v>0.57985396</v>
          </cell>
          <cell r="B305">
            <v>1145</v>
          </cell>
        </row>
        <row r="306">
          <cell r="A306">
            <v>0.77577885000000002</v>
          </cell>
          <cell r="B306">
            <v>1083</v>
          </cell>
        </row>
        <row r="307">
          <cell r="A307">
            <v>0.342870544</v>
          </cell>
          <cell r="B307">
            <v>1114</v>
          </cell>
        </row>
        <row r="308">
          <cell r="A308">
            <v>0.72635702300000005</v>
          </cell>
          <cell r="B308">
            <v>1170</v>
          </cell>
        </row>
        <row r="309">
          <cell r="A309">
            <v>0.64197530899999999</v>
          </cell>
          <cell r="B309">
            <v>985</v>
          </cell>
        </row>
        <row r="310">
          <cell r="A310">
            <v>0.72875594799999999</v>
          </cell>
          <cell r="B310">
            <v>1093</v>
          </cell>
        </row>
        <row r="311">
          <cell r="A311">
            <v>0.900441084</v>
          </cell>
          <cell r="B311">
            <v>1148</v>
          </cell>
        </row>
        <row r="312">
          <cell r="A312">
            <v>0.723096026</v>
          </cell>
          <cell r="B312">
            <v>1296</v>
          </cell>
        </row>
        <row r="313">
          <cell r="A313">
            <v>0.66922005600000001</v>
          </cell>
          <cell r="B313">
            <v>1043</v>
          </cell>
        </row>
        <row r="314">
          <cell r="A314">
            <v>0.83747276699999995</v>
          </cell>
          <cell r="B314">
            <v>1209</v>
          </cell>
        </row>
        <row r="315">
          <cell r="A315">
            <v>0.43953488400000001</v>
          </cell>
          <cell r="B315">
            <v>1120</v>
          </cell>
        </row>
        <row r="316">
          <cell r="A316">
            <v>0.47628458499999998</v>
          </cell>
          <cell r="B316">
            <v>988</v>
          </cell>
        </row>
        <row r="317">
          <cell r="A317">
            <v>0.78319327699999997</v>
          </cell>
          <cell r="B317">
            <v>1183</v>
          </cell>
        </row>
        <row r="318">
          <cell r="A318">
            <v>0.694396177</v>
          </cell>
          <cell r="B318">
            <v>1247</v>
          </cell>
        </row>
        <row r="319">
          <cell r="A319">
            <v>0.895362663</v>
          </cell>
          <cell r="B319">
            <v>1204</v>
          </cell>
        </row>
        <row r="320">
          <cell r="A320">
            <v>0.79402359700000003</v>
          </cell>
          <cell r="B320">
            <v>1219</v>
          </cell>
        </row>
        <row r="321">
          <cell r="A321">
            <v>0.78903486599999995</v>
          </cell>
          <cell r="B321">
            <v>1308</v>
          </cell>
        </row>
        <row r="322">
          <cell r="A322">
            <v>0.77511542300000003</v>
          </cell>
          <cell r="B322">
            <v>1224</v>
          </cell>
        </row>
        <row r="323">
          <cell r="A323">
            <v>0.59075043599999999</v>
          </cell>
          <cell r="B323">
            <v>1280</v>
          </cell>
        </row>
        <row r="324">
          <cell r="A324">
            <v>0.48331400600000002</v>
          </cell>
          <cell r="B324">
            <v>1205</v>
          </cell>
        </row>
        <row r="325">
          <cell r="A325">
            <v>0.53961827600000001</v>
          </cell>
          <cell r="B325">
            <v>1387</v>
          </cell>
        </row>
        <row r="326">
          <cell r="A326">
            <v>7.9640769E-2</v>
          </cell>
          <cell r="B326">
            <v>1500</v>
          </cell>
        </row>
        <row r="327">
          <cell r="A327">
            <v>0.77160745900000005</v>
          </cell>
          <cell r="B327">
            <v>1307</v>
          </cell>
        </row>
        <row r="328">
          <cell r="A328">
            <v>0.11954567000000001</v>
          </cell>
          <cell r="B328">
            <v>1480</v>
          </cell>
        </row>
        <row r="329">
          <cell r="A329">
            <v>0.190502793</v>
          </cell>
          <cell r="B329">
            <v>1480</v>
          </cell>
        </row>
        <row r="330">
          <cell r="A330">
            <v>0.91763072700000003</v>
          </cell>
          <cell r="B330">
            <v>1089</v>
          </cell>
        </row>
        <row r="331">
          <cell r="A331">
            <v>0.11770195999999999</v>
          </cell>
          <cell r="B331">
            <v>1487</v>
          </cell>
        </row>
        <row r="332">
          <cell r="A332">
            <v>0.57284172700000002</v>
          </cell>
          <cell r="B332">
            <v>1296</v>
          </cell>
        </row>
        <row r="333">
          <cell r="A333">
            <v>0.70585408500000002</v>
          </cell>
          <cell r="B333">
            <v>1294</v>
          </cell>
        </row>
        <row r="334">
          <cell r="A334">
            <v>0.92696629200000003</v>
          </cell>
          <cell r="B334">
            <v>1297</v>
          </cell>
        </row>
        <row r="335">
          <cell r="A335">
            <v>0.911373302</v>
          </cell>
          <cell r="B335">
            <v>1167</v>
          </cell>
        </row>
        <row r="336">
          <cell r="A336">
            <v>0.69942533500000004</v>
          </cell>
          <cell r="B336">
            <v>1285</v>
          </cell>
        </row>
        <row r="337">
          <cell r="A337">
            <v>0.45070422500000001</v>
          </cell>
          <cell r="B337">
            <v>1507</v>
          </cell>
        </row>
        <row r="338">
          <cell r="A338">
            <v>0.75288653000000005</v>
          </cell>
          <cell r="B338">
            <v>1260</v>
          </cell>
        </row>
        <row r="339">
          <cell r="A339">
            <v>0.89772543999999999</v>
          </cell>
          <cell r="B339">
            <v>1259</v>
          </cell>
        </row>
        <row r="340">
          <cell r="A340">
            <v>0.78489263799999998</v>
          </cell>
          <cell r="B340">
            <v>1254</v>
          </cell>
        </row>
        <row r="341">
          <cell r="A341">
            <v>0.64710485100000004</v>
          </cell>
          <cell r="B341">
            <v>1285</v>
          </cell>
        </row>
        <row r="342">
          <cell r="A342">
            <v>0.788768739</v>
          </cell>
          <cell r="B342">
            <v>1226</v>
          </cell>
        </row>
        <row r="343">
          <cell r="A343">
            <v>0.75643461700000003</v>
          </cell>
          <cell r="B343">
            <v>1193</v>
          </cell>
        </row>
        <row r="344">
          <cell r="A344">
            <v>0.79496402899999996</v>
          </cell>
          <cell r="B344">
            <v>1256</v>
          </cell>
        </row>
        <row r="345">
          <cell r="A345">
            <v>0.85342333699999995</v>
          </cell>
          <cell r="B345">
            <v>1155</v>
          </cell>
        </row>
        <row r="346">
          <cell r="A346">
            <v>0.78078051400000004</v>
          </cell>
          <cell r="B346">
            <v>1290</v>
          </cell>
        </row>
        <row r="347">
          <cell r="A347">
            <v>0.77140047099999998</v>
          </cell>
          <cell r="B347">
            <v>1232</v>
          </cell>
        </row>
        <row r="348">
          <cell r="A348">
            <v>0.53169907000000005</v>
          </cell>
          <cell r="B348">
            <v>1339</v>
          </cell>
        </row>
        <row r="349">
          <cell r="A349">
            <v>0.81530588500000001</v>
          </cell>
          <cell r="B349">
            <v>1181</v>
          </cell>
        </row>
        <row r="350">
          <cell r="A350">
            <v>0.58468418099999997</v>
          </cell>
          <cell r="B350">
            <v>1343</v>
          </cell>
        </row>
        <row r="351">
          <cell r="A351">
            <v>0.589333887</v>
          </cell>
          <cell r="B351">
            <v>1374</v>
          </cell>
        </row>
        <row r="352">
          <cell r="A352">
            <v>0.70573843400000003</v>
          </cell>
          <cell r="B352">
            <v>1238</v>
          </cell>
        </row>
        <row r="353">
          <cell r="A353">
            <v>0.229249012</v>
          </cell>
          <cell r="B353">
            <v>1388</v>
          </cell>
        </row>
        <row r="354">
          <cell r="A354">
            <v>0.67804347799999998</v>
          </cell>
          <cell r="B354">
            <v>1207</v>
          </cell>
        </row>
        <row r="355">
          <cell r="A355">
            <v>0.79665384800000005</v>
          </cell>
          <cell r="B355">
            <v>1215</v>
          </cell>
        </row>
        <row r="356">
          <cell r="A356">
            <v>0.63005431499999998</v>
          </cell>
          <cell r="B356">
            <v>1365</v>
          </cell>
        </row>
        <row r="357">
          <cell r="A357">
            <v>0.43786982200000002</v>
          </cell>
          <cell r="B357">
            <v>1410</v>
          </cell>
        </row>
        <row r="358">
          <cell r="A358">
            <v>0.177274599</v>
          </cell>
          <cell r="B358">
            <v>1513</v>
          </cell>
        </row>
        <row r="359">
          <cell r="A359">
            <v>0.83462199299999995</v>
          </cell>
          <cell r="B359">
            <v>1234</v>
          </cell>
        </row>
        <row r="360">
          <cell r="A360">
            <v>0.90376850600000003</v>
          </cell>
          <cell r="B360">
            <v>1082</v>
          </cell>
        </row>
        <row r="361">
          <cell r="A361">
            <v>0.39504260299999999</v>
          </cell>
          <cell r="B361">
            <v>1064</v>
          </cell>
        </row>
        <row r="362">
          <cell r="A362">
            <v>0.49206349199999999</v>
          </cell>
          <cell r="B362">
            <v>1020</v>
          </cell>
        </row>
        <row r="363">
          <cell r="A363">
            <v>0.77699253999999995</v>
          </cell>
          <cell r="B363">
            <v>1136</v>
          </cell>
        </row>
        <row r="364">
          <cell r="A364">
            <v>0.144821015</v>
          </cell>
          <cell r="B364">
            <v>1448</v>
          </cell>
        </row>
        <row r="365">
          <cell r="A365">
            <v>0.67314139699999997</v>
          </cell>
          <cell r="B365">
            <v>1222</v>
          </cell>
        </row>
        <row r="366">
          <cell r="A366">
            <v>0.87023554599999997</v>
          </cell>
          <cell r="B366">
            <v>1146</v>
          </cell>
        </row>
        <row r="367">
          <cell r="A367">
            <v>0.83761589400000003</v>
          </cell>
          <cell r="B367">
            <v>1120</v>
          </cell>
        </row>
        <row r="368">
          <cell r="A368">
            <v>0.76825600000000005</v>
          </cell>
          <cell r="B368">
            <v>1242</v>
          </cell>
        </row>
        <row r="369">
          <cell r="A369">
            <v>0.74664107499999999</v>
          </cell>
          <cell r="B369">
            <v>1224</v>
          </cell>
        </row>
        <row r="370">
          <cell r="A370">
            <v>0.752008766</v>
          </cell>
          <cell r="B370">
            <v>1201</v>
          </cell>
        </row>
        <row r="371">
          <cell r="A371">
            <v>0.77745995400000001</v>
          </cell>
          <cell r="B371">
            <v>1020</v>
          </cell>
        </row>
        <row r="372">
          <cell r="A372">
            <v>0.97356143100000003</v>
          </cell>
          <cell r="B372">
            <v>1198</v>
          </cell>
        </row>
        <row r="373">
          <cell r="A373">
            <v>0.67684186400000002</v>
          </cell>
          <cell r="B373">
            <v>1223</v>
          </cell>
        </row>
        <row r="374">
          <cell r="A374">
            <v>0.87032291100000003</v>
          </cell>
          <cell r="B374">
            <v>1168</v>
          </cell>
        </row>
        <row r="375">
          <cell r="A375">
            <v>0.76612903200000004</v>
          </cell>
          <cell r="B375">
            <v>1090</v>
          </cell>
        </row>
        <row r="376">
          <cell r="A376">
            <v>0.77624602300000001</v>
          </cell>
          <cell r="B376">
            <v>1290</v>
          </cell>
        </row>
        <row r="377">
          <cell r="A377">
            <v>0.84992927900000004</v>
          </cell>
          <cell r="B377">
            <v>1083</v>
          </cell>
        </row>
        <row r="378">
          <cell r="A378">
            <v>0.36216216200000001</v>
          </cell>
          <cell r="B378">
            <v>1120</v>
          </cell>
        </row>
        <row r="379">
          <cell r="A379">
            <v>0.80567024499999995</v>
          </cell>
          <cell r="B379">
            <v>1119</v>
          </cell>
        </row>
        <row r="380">
          <cell r="A380">
            <v>0.41269841299999999</v>
          </cell>
          <cell r="B380">
            <v>1020</v>
          </cell>
        </row>
        <row r="381">
          <cell r="A381">
            <v>0.76847627699999999</v>
          </cell>
          <cell r="B381">
            <v>1176</v>
          </cell>
        </row>
        <row r="382">
          <cell r="A382">
            <v>0.61155586500000003</v>
          </cell>
          <cell r="B382">
            <v>1020</v>
          </cell>
        </row>
        <row r="383">
          <cell r="A383">
            <v>0.73172966800000006</v>
          </cell>
          <cell r="B383">
            <v>1118</v>
          </cell>
        </row>
        <row r="384">
          <cell r="A384">
            <v>0.62820512799999995</v>
          </cell>
          <cell r="B384">
            <v>1246</v>
          </cell>
        </row>
        <row r="385">
          <cell r="A385">
            <v>0.50177935900000004</v>
          </cell>
          <cell r="B385">
            <v>972</v>
          </cell>
        </row>
        <row r="386">
          <cell r="A386">
            <v>0.399018806</v>
          </cell>
          <cell r="B386">
            <v>910</v>
          </cell>
        </row>
        <row r="387">
          <cell r="A387">
            <v>0.56282450699999997</v>
          </cell>
          <cell r="B387">
            <v>1156</v>
          </cell>
        </row>
        <row r="388">
          <cell r="A388">
            <v>0.61647689800000005</v>
          </cell>
          <cell r="B388">
            <v>1313</v>
          </cell>
        </row>
        <row r="389">
          <cell r="A389">
            <v>0.16927297699999999</v>
          </cell>
          <cell r="B389">
            <v>1395</v>
          </cell>
        </row>
        <row r="390">
          <cell r="A390">
            <v>0.81099575300000004</v>
          </cell>
          <cell r="B390">
            <v>1295</v>
          </cell>
        </row>
        <row r="391">
          <cell r="A391">
            <v>0.30713068900000001</v>
          </cell>
          <cell r="B391">
            <v>1440</v>
          </cell>
        </row>
        <row r="392">
          <cell r="A392">
            <v>0.82857142900000003</v>
          </cell>
          <cell r="B392">
            <v>1120</v>
          </cell>
        </row>
        <row r="393">
          <cell r="A393">
            <v>0.64124057000000001</v>
          </cell>
          <cell r="B393">
            <v>1114</v>
          </cell>
        </row>
        <row r="394">
          <cell r="A394">
            <v>0.75580524299999996</v>
          </cell>
          <cell r="B394">
            <v>1089</v>
          </cell>
        </row>
        <row r="395">
          <cell r="A395">
            <v>0.78616852100000001</v>
          </cell>
          <cell r="B395">
            <v>1103</v>
          </cell>
        </row>
        <row r="396">
          <cell r="A396">
            <v>0.427561837</v>
          </cell>
          <cell r="B396">
            <v>961</v>
          </cell>
        </row>
        <row r="397">
          <cell r="A397">
            <v>0.57391304300000001</v>
          </cell>
          <cell r="B397">
            <v>1020</v>
          </cell>
        </row>
        <row r="398">
          <cell r="A398">
            <v>0.80102348000000001</v>
          </cell>
          <cell r="B398">
            <v>1227</v>
          </cell>
        </row>
        <row r="399">
          <cell r="A399">
            <v>0.84303351000000004</v>
          </cell>
          <cell r="B399">
            <v>1119</v>
          </cell>
        </row>
        <row r="400">
          <cell r="A400">
            <v>0.56523743699999995</v>
          </cell>
          <cell r="B400">
            <v>1068</v>
          </cell>
        </row>
        <row r="401">
          <cell r="A401">
            <v>0.81662218799999997</v>
          </cell>
          <cell r="B401">
            <v>1016</v>
          </cell>
        </row>
        <row r="402">
          <cell r="A402">
            <v>0.329830601</v>
          </cell>
          <cell r="B402">
            <v>1440</v>
          </cell>
        </row>
        <row r="403">
          <cell r="A403">
            <v>0.85246953199999997</v>
          </cell>
          <cell r="B403">
            <v>1150</v>
          </cell>
        </row>
        <row r="404">
          <cell r="A404">
            <v>0.73352435500000002</v>
          </cell>
          <cell r="B404">
            <v>1290</v>
          </cell>
        </row>
        <row r="405">
          <cell r="A405">
            <v>0.50665732299999999</v>
          </cell>
          <cell r="B405">
            <v>1311</v>
          </cell>
        </row>
        <row r="406">
          <cell r="A406">
            <v>0.83304745599999996</v>
          </cell>
          <cell r="B406">
            <v>1220</v>
          </cell>
        </row>
        <row r="407">
          <cell r="A407">
            <v>0.72229580599999998</v>
          </cell>
          <cell r="B407">
            <v>1218</v>
          </cell>
        </row>
        <row r="408">
          <cell r="A408">
            <v>0.797701149</v>
          </cell>
          <cell r="B408">
            <v>989</v>
          </cell>
        </row>
        <row r="409">
          <cell r="A409">
            <v>0.84013050600000005</v>
          </cell>
          <cell r="B409">
            <v>1140</v>
          </cell>
        </row>
        <row r="410">
          <cell r="A410">
            <v>0.78181023199999999</v>
          </cell>
          <cell r="B410">
            <v>1210</v>
          </cell>
        </row>
        <row r="411">
          <cell r="A411">
            <v>0.52728852400000004</v>
          </cell>
          <cell r="B411">
            <v>980</v>
          </cell>
        </row>
        <row r="412">
          <cell r="A412">
            <v>0.84603090000000003</v>
          </cell>
          <cell r="B412">
            <v>1042</v>
          </cell>
        </row>
        <row r="413">
          <cell r="A413">
            <v>0.91035182699999995</v>
          </cell>
          <cell r="B413">
            <v>1153</v>
          </cell>
        </row>
        <row r="414">
          <cell r="A414">
            <v>0.54316597899999997</v>
          </cell>
          <cell r="B414">
            <v>1370</v>
          </cell>
        </row>
        <row r="415">
          <cell r="A415">
            <v>0.87725373100000004</v>
          </cell>
          <cell r="B415">
            <v>1224</v>
          </cell>
        </row>
        <row r="416">
          <cell r="A416">
            <v>0.44808743200000001</v>
          </cell>
          <cell r="B416">
            <v>1020</v>
          </cell>
        </row>
        <row r="417">
          <cell r="A417">
            <v>0.97073884399999999</v>
          </cell>
          <cell r="B417">
            <v>1117</v>
          </cell>
        </row>
        <row r="418">
          <cell r="A418">
            <v>0.55683646099999995</v>
          </cell>
          <cell r="B418">
            <v>1173</v>
          </cell>
        </row>
        <row r="419">
          <cell r="A419">
            <v>0.70391061499999996</v>
          </cell>
          <cell r="B419">
            <v>1150</v>
          </cell>
        </row>
        <row r="420">
          <cell r="A420">
            <v>0.985985161</v>
          </cell>
          <cell r="B420">
            <v>1183</v>
          </cell>
        </row>
        <row r="421">
          <cell r="A421">
            <v>0.57985220900000001</v>
          </cell>
          <cell r="B421">
            <v>1325</v>
          </cell>
        </row>
        <row r="422">
          <cell r="A422">
            <v>0.96414235999999998</v>
          </cell>
          <cell r="B422">
            <v>1170</v>
          </cell>
        </row>
        <row r="423">
          <cell r="A423">
            <v>0.74534259599999997</v>
          </cell>
          <cell r="B423">
            <v>1321</v>
          </cell>
        </row>
        <row r="424">
          <cell r="A424">
            <v>0.91764288199999999</v>
          </cell>
          <cell r="B424">
            <v>1123</v>
          </cell>
        </row>
        <row r="425">
          <cell r="A425">
            <v>0.95387678399999998</v>
          </cell>
          <cell r="B425">
            <v>1277</v>
          </cell>
        </row>
        <row r="426">
          <cell r="A426">
            <v>0.27157789900000001</v>
          </cell>
          <cell r="B426">
            <v>1420</v>
          </cell>
        </row>
        <row r="427">
          <cell r="A427">
            <v>0.79108838599999998</v>
          </cell>
          <cell r="B427">
            <v>1339</v>
          </cell>
        </row>
        <row r="428">
          <cell r="A428">
            <v>0.58533201199999996</v>
          </cell>
          <cell r="B428">
            <v>1292</v>
          </cell>
        </row>
        <row r="429">
          <cell r="A429">
            <v>0.78575357499999998</v>
          </cell>
          <cell r="B429">
            <v>1199</v>
          </cell>
        </row>
        <row r="430">
          <cell r="A430">
            <v>0.79186602900000003</v>
          </cell>
          <cell r="B430">
            <v>1210</v>
          </cell>
        </row>
        <row r="431">
          <cell r="A431">
            <v>0.31055521699999999</v>
          </cell>
          <cell r="B431">
            <v>1404</v>
          </cell>
        </row>
        <row r="432">
          <cell r="A432">
            <v>0.32007266099999998</v>
          </cell>
          <cell r="B432">
            <v>1389</v>
          </cell>
        </row>
        <row r="433">
          <cell r="A433">
            <v>0.70112736899999994</v>
          </cell>
          <cell r="B433">
            <v>1205</v>
          </cell>
        </row>
        <row r="434">
          <cell r="A434">
            <v>0.92493638700000003</v>
          </cell>
          <cell r="B434">
            <v>1180</v>
          </cell>
        </row>
        <row r="435">
          <cell r="A435">
            <v>0.78854875300000005</v>
          </cell>
          <cell r="B435">
            <v>1257</v>
          </cell>
        </row>
        <row r="436">
          <cell r="A436">
            <v>0.76767107899999998</v>
          </cell>
          <cell r="B436">
            <v>1190</v>
          </cell>
        </row>
        <row r="437">
          <cell r="A437">
            <v>0.318275376</v>
          </cell>
          <cell r="B437">
            <v>1394</v>
          </cell>
        </row>
        <row r="438">
          <cell r="A438">
            <v>0.47508072400000001</v>
          </cell>
          <cell r="B438">
            <v>1350</v>
          </cell>
        </row>
        <row r="439">
          <cell r="A439">
            <v>0.12908778000000001</v>
          </cell>
          <cell r="B439">
            <v>1498</v>
          </cell>
        </row>
        <row r="440">
          <cell r="A440">
            <v>0.784473953</v>
          </cell>
          <cell r="B440">
            <v>1163</v>
          </cell>
        </row>
        <row r="441">
          <cell r="A441">
            <v>0.71648954399999998</v>
          </cell>
          <cell r="B441">
            <v>1185</v>
          </cell>
        </row>
        <row r="442">
          <cell r="A442">
            <v>0.93200249499999999</v>
          </cell>
          <cell r="B442">
            <v>1150</v>
          </cell>
        </row>
        <row r="443">
          <cell r="A443">
            <v>0.31466477599999998</v>
          </cell>
          <cell r="B443">
            <v>1419</v>
          </cell>
        </row>
        <row r="444">
          <cell r="A444">
            <v>0.95189873400000002</v>
          </cell>
          <cell r="B444">
            <v>1161</v>
          </cell>
        </row>
        <row r="445">
          <cell r="A445">
            <v>0.67875969000000003</v>
          </cell>
          <cell r="B445">
            <v>1169</v>
          </cell>
        </row>
        <row r="446">
          <cell r="A446">
            <v>0.837053571</v>
          </cell>
          <cell r="B446">
            <v>1153</v>
          </cell>
        </row>
        <row r="447">
          <cell r="A447">
            <v>0.78484210499999996</v>
          </cell>
          <cell r="B447">
            <v>1214</v>
          </cell>
        </row>
        <row r="448">
          <cell r="A448">
            <v>0.605143722</v>
          </cell>
          <cell r="B448">
            <v>1303</v>
          </cell>
        </row>
        <row r="449">
          <cell r="A449">
            <v>0.53998044999999995</v>
          </cell>
          <cell r="B449">
            <v>1154</v>
          </cell>
        </row>
        <row r="450">
          <cell r="A450">
            <v>0.90408077399999998</v>
          </cell>
          <cell r="B450">
            <v>1034</v>
          </cell>
        </row>
        <row r="451">
          <cell r="A451">
            <v>0.64006439699999995</v>
          </cell>
          <cell r="B451">
            <v>1327</v>
          </cell>
        </row>
        <row r="452">
          <cell r="A452">
            <v>0.83564356399999995</v>
          </cell>
          <cell r="B452">
            <v>1154</v>
          </cell>
        </row>
        <row r="453">
          <cell r="A453">
            <v>0.97883197899999996</v>
          </cell>
          <cell r="B453">
            <v>1142</v>
          </cell>
        </row>
        <row r="454">
          <cell r="A454">
            <v>0.76892430300000003</v>
          </cell>
          <cell r="B454">
            <v>1151</v>
          </cell>
        </row>
        <row r="455">
          <cell r="A455">
            <v>0.863901268</v>
          </cell>
          <cell r="B455">
            <v>1256</v>
          </cell>
        </row>
        <row r="456">
          <cell r="A456">
            <v>0.59098567800000001</v>
          </cell>
          <cell r="B456">
            <v>1120</v>
          </cell>
        </row>
        <row r="457">
          <cell r="A457">
            <v>0.84354669500000001</v>
          </cell>
          <cell r="B457">
            <v>1237</v>
          </cell>
        </row>
        <row r="458">
          <cell r="A458">
            <v>0.757886112</v>
          </cell>
          <cell r="B458">
            <v>1186</v>
          </cell>
        </row>
        <row r="459">
          <cell r="A459">
            <v>0.78707733499999999</v>
          </cell>
          <cell r="B459">
            <v>1211</v>
          </cell>
        </row>
        <row r="460">
          <cell r="A460">
            <v>6.9433751000000002E-2</v>
          </cell>
          <cell r="B460">
            <v>1527</v>
          </cell>
        </row>
        <row r="461">
          <cell r="A461">
            <v>0.86143984200000001</v>
          </cell>
          <cell r="B461">
            <v>1259</v>
          </cell>
        </row>
        <row r="462">
          <cell r="A462">
            <v>0.87365669499999998</v>
          </cell>
          <cell r="B462">
            <v>1304</v>
          </cell>
        </row>
        <row r="463">
          <cell r="A463">
            <v>0.91694352199999996</v>
          </cell>
          <cell r="B463">
            <v>1114</v>
          </cell>
        </row>
        <row r="464">
          <cell r="A464">
            <v>0.91456189600000004</v>
          </cell>
          <cell r="B464">
            <v>1134</v>
          </cell>
        </row>
        <row r="465">
          <cell r="A465">
            <v>0.94202311000000005</v>
          </cell>
          <cell r="B465">
            <v>1135</v>
          </cell>
        </row>
        <row r="466">
          <cell r="A466">
            <v>0.65653271599999996</v>
          </cell>
          <cell r="B466">
            <v>1263</v>
          </cell>
        </row>
        <row r="467">
          <cell r="A467">
            <v>0.79941277600000005</v>
          </cell>
          <cell r="B467">
            <v>1107</v>
          </cell>
        </row>
        <row r="468">
          <cell r="A468">
            <v>0.48720827700000002</v>
          </cell>
          <cell r="B468">
            <v>1342</v>
          </cell>
        </row>
        <row r="469">
          <cell r="A469">
            <v>0.13808588299999999</v>
          </cell>
          <cell r="B469">
            <v>1480</v>
          </cell>
        </row>
        <row r="470">
          <cell r="A470">
            <v>0.87776159300000001</v>
          </cell>
          <cell r="B470">
            <v>1228</v>
          </cell>
        </row>
        <row r="471">
          <cell r="A471">
            <v>0.69913989799999998</v>
          </cell>
          <cell r="B471">
            <v>1236</v>
          </cell>
        </row>
        <row r="472">
          <cell r="A472">
            <v>0.528106509</v>
          </cell>
          <cell r="B472">
            <v>1190</v>
          </cell>
        </row>
        <row r="473">
          <cell r="A473">
            <v>0.76086956500000003</v>
          </cell>
          <cell r="B473">
            <v>1056</v>
          </cell>
        </row>
        <row r="474">
          <cell r="A474">
            <v>0.67298402099999999</v>
          </cell>
          <cell r="B474">
            <v>910</v>
          </cell>
        </row>
        <row r="475">
          <cell r="A475">
            <v>1</v>
          </cell>
          <cell r="B475">
            <v>1106</v>
          </cell>
        </row>
        <row r="476">
          <cell r="A476">
            <v>0.64003044099999995</v>
          </cell>
          <cell r="B476">
            <v>1124</v>
          </cell>
        </row>
        <row r="477">
          <cell r="A477">
            <v>0.52569593100000001</v>
          </cell>
          <cell r="B477">
            <v>1364</v>
          </cell>
        </row>
        <row r="478">
          <cell r="A478">
            <v>0.74795034000000005</v>
          </cell>
          <cell r="B478">
            <v>1008</v>
          </cell>
        </row>
        <row r="479">
          <cell r="A479">
            <v>0.62781375299999997</v>
          </cell>
          <cell r="B479">
            <v>1176</v>
          </cell>
        </row>
        <row r="480">
          <cell r="A480">
            <v>0.72342959200000001</v>
          </cell>
          <cell r="B480">
            <v>1214</v>
          </cell>
        </row>
        <row r="481">
          <cell r="A481">
            <v>0.58594310299999997</v>
          </cell>
          <cell r="B481">
            <v>1297</v>
          </cell>
        </row>
        <row r="482">
          <cell r="A482">
            <v>0.59249249199999998</v>
          </cell>
          <cell r="B482">
            <v>1187</v>
          </cell>
        </row>
        <row r="483">
          <cell r="A483">
            <v>0.48139534899999997</v>
          </cell>
          <cell r="B483">
            <v>1120</v>
          </cell>
        </row>
        <row r="484">
          <cell r="A484">
            <v>0.67763157900000004</v>
          </cell>
          <cell r="B484">
            <v>1050</v>
          </cell>
        </row>
        <row r="485">
          <cell r="A485">
            <v>0.96357541899999999</v>
          </cell>
          <cell r="B485">
            <v>1277</v>
          </cell>
        </row>
        <row r="486">
          <cell r="A486">
            <v>0.97166968099999995</v>
          </cell>
          <cell r="B486">
            <v>1035</v>
          </cell>
        </row>
        <row r="487">
          <cell r="A487">
            <v>0.68271481099999998</v>
          </cell>
          <cell r="B487">
            <v>1111</v>
          </cell>
        </row>
        <row r="488">
          <cell r="A488">
            <v>0.88416289599999998</v>
          </cell>
          <cell r="B488">
            <v>1069</v>
          </cell>
        </row>
        <row r="489">
          <cell r="A489">
            <v>0.66635249799999996</v>
          </cell>
          <cell r="B489">
            <v>1248</v>
          </cell>
        </row>
        <row r="490">
          <cell r="A490">
            <v>0.57905286899999997</v>
          </cell>
          <cell r="B490">
            <v>1236</v>
          </cell>
        </row>
        <row r="491">
          <cell r="A491">
            <v>0.90622098399999995</v>
          </cell>
          <cell r="B491">
            <v>1109</v>
          </cell>
        </row>
        <row r="492">
          <cell r="A492">
            <v>0.83870967699999999</v>
          </cell>
          <cell r="B492">
            <v>1050</v>
          </cell>
        </row>
        <row r="493">
          <cell r="A493">
            <v>0.44120940600000003</v>
          </cell>
          <cell r="B493">
            <v>1072</v>
          </cell>
        </row>
        <row r="494">
          <cell r="A494">
            <v>0.72186046500000001</v>
          </cell>
          <cell r="B494">
            <v>1144</v>
          </cell>
        </row>
        <row r="495">
          <cell r="A495">
            <v>0.59271275300000004</v>
          </cell>
          <cell r="B495">
            <v>1093</v>
          </cell>
        </row>
        <row r="496">
          <cell r="A496">
            <v>0.65681737299999998</v>
          </cell>
          <cell r="B496">
            <v>1181</v>
          </cell>
        </row>
        <row r="497">
          <cell r="A497">
            <v>0.496763485</v>
          </cell>
          <cell r="B497">
            <v>1385</v>
          </cell>
        </row>
        <row r="498">
          <cell r="A498">
            <v>0.50896771600000001</v>
          </cell>
          <cell r="B498">
            <v>1336</v>
          </cell>
        </row>
        <row r="499">
          <cell r="A499">
            <v>0.66605639000000005</v>
          </cell>
          <cell r="B499">
            <v>1116</v>
          </cell>
        </row>
        <row r="500">
          <cell r="A500">
            <v>0.59412955499999998</v>
          </cell>
          <cell r="B500">
            <v>1051</v>
          </cell>
        </row>
        <row r="501">
          <cell r="A501">
            <v>0.70020428999999995</v>
          </cell>
          <cell r="B501">
            <v>1090</v>
          </cell>
        </row>
        <row r="502">
          <cell r="A502">
            <v>0.47177954799999999</v>
          </cell>
          <cell r="B502">
            <v>1243</v>
          </cell>
        </row>
        <row r="503">
          <cell r="A503">
            <v>0.64390243899999999</v>
          </cell>
          <cell r="B503">
            <v>1189</v>
          </cell>
        </row>
        <row r="504">
          <cell r="A504">
            <v>0.466569236</v>
          </cell>
          <cell r="B504">
            <v>1272</v>
          </cell>
        </row>
        <row r="505">
          <cell r="A505">
            <v>0.91059907799999995</v>
          </cell>
          <cell r="B505">
            <v>988</v>
          </cell>
        </row>
        <row r="506">
          <cell r="A506">
            <v>0.91082564200000005</v>
          </cell>
          <cell r="B506">
            <v>1109</v>
          </cell>
        </row>
        <row r="507">
          <cell r="A507">
            <v>0.84025559100000002</v>
          </cell>
          <cell r="B507">
            <v>1022</v>
          </cell>
        </row>
        <row r="508">
          <cell r="A508">
            <v>0.54199569299999995</v>
          </cell>
          <cell r="B508">
            <v>1284</v>
          </cell>
        </row>
        <row r="509">
          <cell r="A509">
            <v>0.965334421</v>
          </cell>
          <cell r="B509">
            <v>1064</v>
          </cell>
        </row>
        <row r="510">
          <cell r="A510">
            <v>0.85145771000000003</v>
          </cell>
          <cell r="B510">
            <v>1092</v>
          </cell>
        </row>
        <row r="511">
          <cell r="A511">
            <v>0.67691095400000001</v>
          </cell>
          <cell r="B511">
            <v>1019</v>
          </cell>
        </row>
        <row r="512">
          <cell r="A512">
            <v>0.93361404800000003</v>
          </cell>
          <cell r="B512">
            <v>1042</v>
          </cell>
        </row>
        <row r="513">
          <cell r="A513">
            <v>0.40676520799999999</v>
          </cell>
          <cell r="B513">
            <v>1262</v>
          </cell>
        </row>
        <row r="514">
          <cell r="A514">
            <v>0.73185940999999999</v>
          </cell>
          <cell r="B514">
            <v>1086</v>
          </cell>
        </row>
        <row r="515">
          <cell r="A515">
            <v>0.95117033399999995</v>
          </cell>
          <cell r="B515">
            <v>1098</v>
          </cell>
        </row>
        <row r="516">
          <cell r="A516">
            <v>0.576509512</v>
          </cell>
          <cell r="B516">
            <v>1072</v>
          </cell>
        </row>
        <row r="517">
          <cell r="A517">
            <v>0.83692746399999995</v>
          </cell>
          <cell r="B517">
            <v>1135</v>
          </cell>
        </row>
        <row r="518">
          <cell r="A518">
            <v>0.93337523600000005</v>
          </cell>
          <cell r="B518">
            <v>1204</v>
          </cell>
        </row>
        <row r="519">
          <cell r="A519">
            <v>0.88948683500000003</v>
          </cell>
          <cell r="B519">
            <v>989</v>
          </cell>
        </row>
        <row r="520">
          <cell r="A520">
            <v>0.84227642300000005</v>
          </cell>
          <cell r="B520">
            <v>1014</v>
          </cell>
        </row>
        <row r="521">
          <cell r="A521">
            <v>0.39073652199999998</v>
          </cell>
          <cell r="B521">
            <v>1269</v>
          </cell>
        </row>
        <row r="522">
          <cell r="A522">
            <v>0.55517711199999997</v>
          </cell>
          <cell r="B522">
            <v>1031</v>
          </cell>
        </row>
        <row r="523">
          <cell r="A523">
            <v>0.42598820500000001</v>
          </cell>
          <cell r="B523">
            <v>1303</v>
          </cell>
        </row>
        <row r="524">
          <cell r="A524">
            <v>0.94787644800000004</v>
          </cell>
          <cell r="B524">
            <v>1124</v>
          </cell>
        </row>
        <row r="525">
          <cell r="A525">
            <v>0.62391534400000004</v>
          </cell>
          <cell r="B525">
            <v>1051</v>
          </cell>
        </row>
        <row r="526">
          <cell r="A526">
            <v>0.28157549199999998</v>
          </cell>
          <cell r="B526">
            <v>1407</v>
          </cell>
        </row>
        <row r="527">
          <cell r="A527">
            <v>0.69189533000000003</v>
          </cell>
          <cell r="B527">
            <v>1376</v>
          </cell>
        </row>
        <row r="528">
          <cell r="A528">
            <v>0.37874015700000002</v>
          </cell>
          <cell r="B528">
            <v>1104</v>
          </cell>
        </row>
        <row r="529">
          <cell r="A529">
            <v>0.68830675799999996</v>
          </cell>
          <cell r="B529">
            <v>1249</v>
          </cell>
        </row>
        <row r="530">
          <cell r="A530">
            <v>0.48035398200000001</v>
          </cell>
          <cell r="B530">
            <v>1358</v>
          </cell>
        </row>
        <row r="531">
          <cell r="A531">
            <v>0.66717009599999999</v>
          </cell>
          <cell r="B531">
            <v>1262</v>
          </cell>
        </row>
        <row r="532">
          <cell r="A532">
            <v>0.103707603</v>
          </cell>
          <cell r="B532">
            <v>1500</v>
          </cell>
        </row>
        <row r="533">
          <cell r="A533">
            <v>0.736086872</v>
          </cell>
          <cell r="B533">
            <v>1190</v>
          </cell>
        </row>
        <row r="534">
          <cell r="A534">
            <v>0.91852974600000004</v>
          </cell>
          <cell r="B534">
            <v>1241</v>
          </cell>
        </row>
        <row r="535">
          <cell r="A535">
            <v>0.47802528599999999</v>
          </cell>
          <cell r="B535">
            <v>1054</v>
          </cell>
        </row>
        <row r="536">
          <cell r="A536">
            <v>0.90813253000000005</v>
          </cell>
          <cell r="B536">
            <v>1225</v>
          </cell>
        </row>
        <row r="537">
          <cell r="A537">
            <v>0.41178901000000001</v>
          </cell>
          <cell r="B537">
            <v>1169</v>
          </cell>
        </row>
        <row r="538">
          <cell r="A538">
            <v>0.96296296299999995</v>
          </cell>
          <cell r="B538">
            <v>1171</v>
          </cell>
        </row>
        <row r="539">
          <cell r="A539">
            <v>0.50134892099999995</v>
          </cell>
          <cell r="B539">
            <v>1168</v>
          </cell>
        </row>
        <row r="540">
          <cell r="A540">
            <v>0.48271309499999998</v>
          </cell>
          <cell r="B540">
            <v>1062</v>
          </cell>
        </row>
        <row r="541">
          <cell r="A541">
            <v>0.70855615000000005</v>
          </cell>
          <cell r="B541">
            <v>1256</v>
          </cell>
        </row>
        <row r="542">
          <cell r="A542">
            <v>0.83396946599999999</v>
          </cell>
          <cell r="B542">
            <v>1148</v>
          </cell>
        </row>
        <row r="543">
          <cell r="A543">
            <v>0.949354005</v>
          </cell>
          <cell r="B543">
            <v>1109</v>
          </cell>
        </row>
        <row r="544">
          <cell r="A544">
            <v>0.23311950300000001</v>
          </cell>
          <cell r="B544">
            <v>1474</v>
          </cell>
        </row>
        <row r="545">
          <cell r="A545">
            <v>0.80070288499999998</v>
          </cell>
          <cell r="B545">
            <v>1193</v>
          </cell>
        </row>
        <row r="546">
          <cell r="A546">
            <v>0.99636693899999995</v>
          </cell>
          <cell r="B546">
            <v>1099</v>
          </cell>
        </row>
        <row r="547">
          <cell r="A547">
            <v>0.71742957699999998</v>
          </cell>
          <cell r="B547">
            <v>1227</v>
          </cell>
        </row>
        <row r="548">
          <cell r="A548">
            <v>0.71293851399999997</v>
          </cell>
          <cell r="B548">
            <v>1281</v>
          </cell>
        </row>
        <row r="549">
          <cell r="A549">
            <v>0.17360703799999999</v>
          </cell>
          <cell r="B549">
            <v>1504</v>
          </cell>
        </row>
        <row r="550">
          <cell r="A550">
            <v>0.88054607500000004</v>
          </cell>
          <cell r="B550">
            <v>1204</v>
          </cell>
        </row>
        <row r="551">
          <cell r="A551">
            <v>0.80526697300000005</v>
          </cell>
          <cell r="B551">
            <v>1152</v>
          </cell>
        </row>
        <row r="552">
          <cell r="A552">
            <v>0.76279740399999996</v>
          </cell>
          <cell r="B552">
            <v>1332</v>
          </cell>
        </row>
        <row r="553">
          <cell r="A553">
            <v>0.75928591999999995</v>
          </cell>
          <cell r="B553">
            <v>1057</v>
          </cell>
        </row>
        <row r="554">
          <cell r="A554">
            <v>0.910905203</v>
          </cell>
          <cell r="B554">
            <v>1191</v>
          </cell>
        </row>
        <row r="555">
          <cell r="A555">
            <v>0.76047237099999998</v>
          </cell>
          <cell r="B555">
            <v>1266</v>
          </cell>
        </row>
        <row r="556">
          <cell r="A556">
            <v>0.499919159</v>
          </cell>
          <cell r="B556">
            <v>1365</v>
          </cell>
        </row>
        <row r="557">
          <cell r="A557">
            <v>0.86772151900000005</v>
          </cell>
          <cell r="B557">
            <v>1212</v>
          </cell>
        </row>
        <row r="558">
          <cell r="A558">
            <v>0.985714286</v>
          </cell>
          <cell r="B558">
            <v>1068</v>
          </cell>
        </row>
        <row r="559">
          <cell r="A559">
            <v>0.58234660900000002</v>
          </cell>
          <cell r="B559">
            <v>985</v>
          </cell>
        </row>
        <row r="560">
          <cell r="A560">
            <v>0.95046001400000002</v>
          </cell>
          <cell r="B560">
            <v>1045</v>
          </cell>
        </row>
        <row r="561">
          <cell r="A561">
            <v>0.573582013</v>
          </cell>
          <cell r="B561">
            <v>1318</v>
          </cell>
        </row>
        <row r="562">
          <cell r="A562">
            <v>0.58405894199999997</v>
          </cell>
          <cell r="B562">
            <v>1209</v>
          </cell>
        </row>
        <row r="563">
          <cell r="A563">
            <v>0.84149676799999995</v>
          </cell>
          <cell r="B563">
            <v>1113</v>
          </cell>
        </row>
        <row r="564">
          <cell r="A564">
            <v>0.69137389299999996</v>
          </cell>
          <cell r="B564">
            <v>1250</v>
          </cell>
        </row>
        <row r="565">
          <cell r="A565">
            <v>0.63026655200000004</v>
          </cell>
          <cell r="B565">
            <v>1349</v>
          </cell>
        </row>
        <row r="566">
          <cell r="A566">
            <v>0.70873786400000005</v>
          </cell>
          <cell r="B566">
            <v>1141</v>
          </cell>
        </row>
        <row r="567">
          <cell r="A567">
            <v>0.62795089699999995</v>
          </cell>
          <cell r="B567">
            <v>1155</v>
          </cell>
        </row>
        <row r="568">
          <cell r="A568">
            <v>0.93354769599999998</v>
          </cell>
          <cell r="B568">
            <v>1050</v>
          </cell>
        </row>
        <row r="569">
          <cell r="A569">
            <v>0.71812080499999997</v>
          </cell>
          <cell r="B569">
            <v>1153</v>
          </cell>
        </row>
        <row r="570">
          <cell r="A570">
            <v>0.83917640500000001</v>
          </cell>
          <cell r="B570">
            <v>1143</v>
          </cell>
        </row>
        <row r="571">
          <cell r="A571">
            <v>0.92150988599999994</v>
          </cell>
          <cell r="B571">
            <v>1233</v>
          </cell>
        </row>
        <row r="572">
          <cell r="A572">
            <v>0.73266618999999999</v>
          </cell>
          <cell r="B572">
            <v>1184</v>
          </cell>
        </row>
        <row r="573">
          <cell r="A573">
            <v>0.79047103399999996</v>
          </cell>
          <cell r="B573">
            <v>1214</v>
          </cell>
        </row>
        <row r="574">
          <cell r="A574">
            <v>0.49460043199999998</v>
          </cell>
          <cell r="B574">
            <v>1367</v>
          </cell>
        </row>
        <row r="575">
          <cell r="A575">
            <v>1</v>
          </cell>
          <cell r="B575">
            <v>1020</v>
          </cell>
        </row>
        <row r="576">
          <cell r="A576">
            <v>0.67846353000000004</v>
          </cell>
          <cell r="B576">
            <v>1193</v>
          </cell>
        </row>
        <row r="577">
          <cell r="A577">
            <v>0.21659482799999999</v>
          </cell>
          <cell r="B577">
            <v>1540</v>
          </cell>
        </row>
        <row r="578">
          <cell r="A578">
            <v>0.79941277600000005</v>
          </cell>
          <cell r="B578">
            <v>1015</v>
          </cell>
        </row>
        <row r="579">
          <cell r="A579">
            <v>0.28676470599999998</v>
          </cell>
          <cell r="B579">
            <v>1050</v>
          </cell>
        </row>
        <row r="580">
          <cell r="A580">
            <v>0.79285714299999999</v>
          </cell>
          <cell r="B580">
            <v>1181</v>
          </cell>
        </row>
        <row r="581">
          <cell r="A581">
            <v>0.690260133</v>
          </cell>
          <cell r="B581">
            <v>978</v>
          </cell>
        </row>
        <row r="582">
          <cell r="A582">
            <v>0.62068965499999995</v>
          </cell>
          <cell r="B582">
            <v>1137</v>
          </cell>
        </row>
        <row r="583">
          <cell r="A583">
            <v>0.70274914099999997</v>
          </cell>
          <cell r="B583">
            <v>1195</v>
          </cell>
        </row>
        <row r="584">
          <cell r="A584">
            <v>0.13467131500000001</v>
          </cell>
          <cell r="B584">
            <v>1513</v>
          </cell>
        </row>
        <row r="585">
          <cell r="A585">
            <v>0.83870967699999999</v>
          </cell>
          <cell r="B585">
            <v>1035</v>
          </cell>
        </row>
        <row r="586">
          <cell r="A586">
            <v>0.179409348</v>
          </cell>
          <cell r="B586">
            <v>1473</v>
          </cell>
        </row>
        <row r="587">
          <cell r="A587">
            <v>0.168642089</v>
          </cell>
          <cell r="B587">
            <v>1488</v>
          </cell>
        </row>
        <row r="588">
          <cell r="A588">
            <v>0.18738558299999999</v>
          </cell>
          <cell r="B588">
            <v>1454</v>
          </cell>
        </row>
        <row r="589">
          <cell r="A589">
            <v>0.248956073</v>
          </cell>
          <cell r="B589">
            <v>1397</v>
          </cell>
        </row>
        <row r="590">
          <cell r="A590">
            <v>0.29123114900000002</v>
          </cell>
          <cell r="B590">
            <v>1380</v>
          </cell>
        </row>
        <row r="591">
          <cell r="A591">
            <v>0.164614239</v>
          </cell>
          <cell r="B591">
            <v>1447</v>
          </cell>
        </row>
        <row r="592">
          <cell r="A592">
            <v>0.43689723699999999</v>
          </cell>
          <cell r="B592">
            <v>1418</v>
          </cell>
        </row>
        <row r="593">
          <cell r="A593">
            <v>0.43349342600000002</v>
          </cell>
          <cell r="B593">
            <v>1402</v>
          </cell>
        </row>
        <row r="594">
          <cell r="A594">
            <v>0.70630978300000002</v>
          </cell>
          <cell r="B594">
            <v>1383</v>
          </cell>
        </row>
        <row r="595">
          <cell r="A595">
            <v>0.50819672100000002</v>
          </cell>
          <cell r="B595">
            <v>1407</v>
          </cell>
        </row>
        <row r="596">
          <cell r="A596">
            <v>0.448405948</v>
          </cell>
          <cell r="B596">
            <v>1463</v>
          </cell>
        </row>
        <row r="597">
          <cell r="A597">
            <v>0.371980009</v>
          </cell>
          <cell r="B597">
            <v>1301</v>
          </cell>
        </row>
        <row r="598">
          <cell r="A598">
            <v>0.50303080099999997</v>
          </cell>
          <cell r="B598">
            <v>1342</v>
          </cell>
        </row>
        <row r="599">
          <cell r="A599">
            <v>0.25382911499999999</v>
          </cell>
          <cell r="B599">
            <v>1323</v>
          </cell>
        </row>
        <row r="600">
          <cell r="A600">
            <v>0.63245593300000003</v>
          </cell>
          <cell r="B600">
            <v>1272</v>
          </cell>
        </row>
        <row r="601">
          <cell r="A601">
            <v>0.76871774900000001</v>
          </cell>
          <cell r="B601">
            <v>1359</v>
          </cell>
        </row>
        <row r="602">
          <cell r="A602">
            <v>0.39846188399999999</v>
          </cell>
          <cell r="B602">
            <v>1380</v>
          </cell>
        </row>
        <row r="603">
          <cell r="A603">
            <v>0.32715979000000001</v>
          </cell>
          <cell r="B603">
            <v>1458</v>
          </cell>
        </row>
        <row r="604">
          <cell r="A604">
            <v>0.577681263</v>
          </cell>
          <cell r="B604">
            <v>1393</v>
          </cell>
        </row>
        <row r="605">
          <cell r="A605">
            <v>0.49005780599999998</v>
          </cell>
          <cell r="B605">
            <v>1410</v>
          </cell>
        </row>
        <row r="606">
          <cell r="A606">
            <v>0.83924659000000001</v>
          </cell>
          <cell r="B606">
            <v>1261</v>
          </cell>
        </row>
        <row r="607">
          <cell r="A607">
            <v>0.69345227200000004</v>
          </cell>
          <cell r="B607">
            <v>1316</v>
          </cell>
        </row>
        <row r="608">
          <cell r="A608">
            <v>0.60440018699999998</v>
          </cell>
          <cell r="B608">
            <v>1338</v>
          </cell>
        </row>
        <row r="609">
          <cell r="A609">
            <v>0.56827352499999995</v>
          </cell>
          <cell r="B609">
            <v>1371</v>
          </cell>
        </row>
        <row r="610">
          <cell r="A610">
            <v>0.80369940500000003</v>
          </cell>
          <cell r="B610">
            <v>1308</v>
          </cell>
        </row>
        <row r="611">
          <cell r="A611">
            <v>0.37733524499999999</v>
          </cell>
          <cell r="B611">
            <v>1415</v>
          </cell>
        </row>
        <row r="612">
          <cell r="A612">
            <v>0.59708787299999999</v>
          </cell>
          <cell r="B612">
            <v>1403</v>
          </cell>
        </row>
        <row r="613">
          <cell r="A613">
            <v>0.69303847200000002</v>
          </cell>
          <cell r="B613">
            <v>1298</v>
          </cell>
        </row>
        <row r="614">
          <cell r="A614">
            <v>0.78501180199999998</v>
          </cell>
          <cell r="B614">
            <v>1242</v>
          </cell>
        </row>
        <row r="615">
          <cell r="A615">
            <v>0.38054289600000002</v>
          </cell>
          <cell r="B615">
            <v>1341</v>
          </cell>
        </row>
        <row r="616">
          <cell r="A616">
            <v>0.66904881000000005</v>
          </cell>
          <cell r="B616">
            <v>1336</v>
          </cell>
        </row>
        <row r="617">
          <cell r="A617">
            <v>0.65112762000000002</v>
          </cell>
          <cell r="B617">
            <v>1297</v>
          </cell>
        </row>
        <row r="618">
          <cell r="A618">
            <v>0.40957552899999999</v>
          </cell>
          <cell r="B618">
            <v>1235</v>
          </cell>
        </row>
        <row r="619">
          <cell r="A619">
            <v>0.83275963500000005</v>
          </cell>
          <cell r="B619">
            <v>1353</v>
          </cell>
        </row>
        <row r="620">
          <cell r="A620">
            <v>0.588359831</v>
          </cell>
          <cell r="B620">
            <v>1154</v>
          </cell>
        </row>
        <row r="621">
          <cell r="A621">
            <v>0.84674090800000001</v>
          </cell>
          <cell r="B621">
            <v>1220</v>
          </cell>
        </row>
        <row r="622">
          <cell r="A622">
            <v>0.70630978300000002</v>
          </cell>
          <cell r="B622">
            <v>1118</v>
          </cell>
        </row>
        <row r="623">
          <cell r="A623">
            <v>0.66220885600000001</v>
          </cell>
          <cell r="B623">
            <v>947</v>
          </cell>
        </row>
        <row r="624">
          <cell r="A624">
            <v>0.88423848299999996</v>
          </cell>
          <cell r="B624">
            <v>1251</v>
          </cell>
        </row>
        <row r="625">
          <cell r="A625">
            <v>0.74250905499999997</v>
          </cell>
          <cell r="B625">
            <v>1321</v>
          </cell>
        </row>
        <row r="626">
          <cell r="A626">
            <v>0.95641601200000004</v>
          </cell>
          <cell r="B626">
            <v>977</v>
          </cell>
        </row>
        <row r="627">
          <cell r="A627">
            <v>0.75824232300000005</v>
          </cell>
          <cell r="B627">
            <v>1287</v>
          </cell>
        </row>
        <row r="628">
          <cell r="A628">
            <v>0.92634432899999997</v>
          </cell>
          <cell r="B628">
            <v>1090</v>
          </cell>
        </row>
        <row r="629">
          <cell r="A629">
            <v>0.50467018100000005</v>
          </cell>
          <cell r="B629">
            <v>1318</v>
          </cell>
        </row>
        <row r="630">
          <cell r="A630">
            <v>0.76215856100000001</v>
          </cell>
          <cell r="B630">
            <v>1055</v>
          </cell>
        </row>
        <row r="631">
          <cell r="A631">
            <v>0.87114159700000005</v>
          </cell>
          <cell r="B631">
            <v>1015</v>
          </cell>
        </row>
        <row r="632">
          <cell r="A632">
            <v>0.59173553700000003</v>
          </cell>
          <cell r="B632">
            <v>1043</v>
          </cell>
        </row>
        <row r="633">
          <cell r="A633">
            <v>0.654887636</v>
          </cell>
          <cell r="B633">
            <v>1119</v>
          </cell>
        </row>
        <row r="634">
          <cell r="A634">
            <v>0.92613564900000001</v>
          </cell>
          <cell r="B634">
            <v>1086</v>
          </cell>
        </row>
        <row r="635">
          <cell r="A635">
            <v>0.85660397399999999</v>
          </cell>
          <cell r="B635">
            <v>1261</v>
          </cell>
        </row>
        <row r="636">
          <cell r="A636">
            <v>0.577437859</v>
          </cell>
          <cell r="B636">
            <v>1049</v>
          </cell>
        </row>
        <row r="637">
          <cell r="A637">
            <v>0.71673880599999995</v>
          </cell>
          <cell r="B637">
            <v>1174</v>
          </cell>
        </row>
        <row r="638">
          <cell r="A638">
            <v>0.57542194099999999</v>
          </cell>
          <cell r="B638">
            <v>916</v>
          </cell>
        </row>
        <row r="639">
          <cell r="A639">
            <v>0.69672028900000005</v>
          </cell>
          <cell r="B639">
            <v>1119</v>
          </cell>
        </row>
        <row r="640">
          <cell r="A640">
            <v>0.96288743899999996</v>
          </cell>
          <cell r="B640">
            <v>1050</v>
          </cell>
        </row>
        <row r="641">
          <cell r="A641">
            <v>0.90468963400000002</v>
          </cell>
          <cell r="B641">
            <v>1117</v>
          </cell>
        </row>
        <row r="642">
          <cell r="A642">
            <v>1</v>
          </cell>
          <cell r="B642">
            <v>1020</v>
          </cell>
        </row>
        <row r="643">
          <cell r="A643">
            <v>0.66587193499999997</v>
          </cell>
          <cell r="B643">
            <v>1050</v>
          </cell>
        </row>
        <row r="644">
          <cell r="A644">
            <v>0.81471796799999996</v>
          </cell>
          <cell r="B644">
            <v>1050</v>
          </cell>
        </row>
        <row r="645">
          <cell r="A645">
            <v>0.77809046599999998</v>
          </cell>
          <cell r="B645">
            <v>1119</v>
          </cell>
        </row>
        <row r="646">
          <cell r="A646">
            <v>0.96565672000000002</v>
          </cell>
          <cell r="B646">
            <v>1140</v>
          </cell>
        </row>
        <row r="647">
          <cell r="A647">
            <v>0.93204796599999995</v>
          </cell>
          <cell r="B647">
            <v>1084</v>
          </cell>
        </row>
        <row r="648">
          <cell r="A648">
            <v>0.81394036299999994</v>
          </cell>
          <cell r="B648">
            <v>1070</v>
          </cell>
        </row>
        <row r="649">
          <cell r="A649">
            <v>0.99137305499999995</v>
          </cell>
          <cell r="B649">
            <v>1014</v>
          </cell>
        </row>
        <row r="650">
          <cell r="A650">
            <v>0.864317695</v>
          </cell>
          <cell r="B650">
            <v>1077</v>
          </cell>
        </row>
        <row r="651">
          <cell r="A651">
            <v>0.99836423100000005</v>
          </cell>
          <cell r="B651">
            <v>1005</v>
          </cell>
        </row>
        <row r="652">
          <cell r="A652">
            <v>0.97471824600000001</v>
          </cell>
          <cell r="B652">
            <v>1130</v>
          </cell>
        </row>
        <row r="653">
          <cell r="A653">
            <v>0.75525235499999999</v>
          </cell>
          <cell r="B653">
            <v>1091</v>
          </cell>
        </row>
        <row r="654">
          <cell r="A654">
            <v>0.81363386500000001</v>
          </cell>
          <cell r="B654">
            <v>1044</v>
          </cell>
        </row>
        <row r="655">
          <cell r="A655">
            <v>0.61667992599999999</v>
          </cell>
          <cell r="B655">
            <v>984</v>
          </cell>
        </row>
        <row r="656">
          <cell r="A656">
            <v>0.39521995199999999</v>
          </cell>
          <cell r="B656">
            <v>1277</v>
          </cell>
        </row>
        <row r="657">
          <cell r="A657">
            <v>0.211200634</v>
          </cell>
          <cell r="B657">
            <v>1100</v>
          </cell>
        </row>
        <row r="658">
          <cell r="A658">
            <v>0.73442706099999999</v>
          </cell>
          <cell r="B658">
            <v>1119</v>
          </cell>
        </row>
        <row r="659">
          <cell r="A659">
            <v>0.62268175100000001</v>
          </cell>
          <cell r="B659">
            <v>1115</v>
          </cell>
        </row>
        <row r="660">
          <cell r="A660">
            <v>0.56871121999999996</v>
          </cell>
          <cell r="B660">
            <v>1137</v>
          </cell>
        </row>
        <row r="661">
          <cell r="A661">
            <v>0.77158135999999999</v>
          </cell>
          <cell r="B661">
            <v>994</v>
          </cell>
        </row>
        <row r="662">
          <cell r="A662">
            <v>0.985086342</v>
          </cell>
          <cell r="B662">
            <v>1001</v>
          </cell>
        </row>
        <row r="663">
          <cell r="A663">
            <v>0.70594837300000002</v>
          </cell>
          <cell r="B663">
            <v>973</v>
          </cell>
        </row>
        <row r="664">
          <cell r="A664">
            <v>0.99239436599999997</v>
          </cell>
          <cell r="B664">
            <v>994</v>
          </cell>
        </row>
        <row r="665">
          <cell r="A665">
            <v>0.627952756</v>
          </cell>
          <cell r="B665">
            <v>864</v>
          </cell>
        </row>
        <row r="666">
          <cell r="A666">
            <v>0.77163814200000003</v>
          </cell>
          <cell r="B666">
            <v>998</v>
          </cell>
        </row>
        <row r="667">
          <cell r="A667">
            <v>0.877695526</v>
          </cell>
          <cell r="B667">
            <v>1150</v>
          </cell>
        </row>
        <row r="668">
          <cell r="A668">
            <v>0.89632199899999998</v>
          </cell>
          <cell r="B668">
            <v>1057</v>
          </cell>
        </row>
        <row r="669">
          <cell r="A669">
            <v>0.73537359999999996</v>
          </cell>
          <cell r="B669">
            <v>1149</v>
          </cell>
        </row>
        <row r="670">
          <cell r="A670">
            <v>0.86782690500000004</v>
          </cell>
          <cell r="B670">
            <v>950</v>
          </cell>
        </row>
        <row r="671">
          <cell r="A671">
            <v>0.83493282099999999</v>
          </cell>
          <cell r="B671">
            <v>1037</v>
          </cell>
        </row>
        <row r="672">
          <cell r="A672">
            <v>0.49374925600000003</v>
          </cell>
          <cell r="B672">
            <v>1044</v>
          </cell>
        </row>
        <row r="673">
          <cell r="A673">
            <v>0.89773614400000001</v>
          </cell>
          <cell r="B673">
            <v>1025</v>
          </cell>
        </row>
        <row r="674">
          <cell r="A674">
            <v>0.69689240500000005</v>
          </cell>
          <cell r="B674">
            <v>1157</v>
          </cell>
        </row>
        <row r="675">
          <cell r="A675">
            <v>0.95599999999999996</v>
          </cell>
          <cell r="B675">
            <v>973</v>
          </cell>
        </row>
        <row r="676">
          <cell r="A676">
            <v>0.79086892499999994</v>
          </cell>
          <cell r="B676">
            <v>1088</v>
          </cell>
        </row>
        <row r="677">
          <cell r="A677">
            <v>0.89010725899999998</v>
          </cell>
          <cell r="B677">
            <v>1127</v>
          </cell>
        </row>
        <row r="678">
          <cell r="A678">
            <v>0.84368737500000002</v>
          </cell>
          <cell r="B678">
            <v>1118</v>
          </cell>
        </row>
        <row r="679">
          <cell r="A679">
            <v>0.90443226600000004</v>
          </cell>
          <cell r="B679">
            <v>1060</v>
          </cell>
        </row>
        <row r="680">
          <cell r="A680">
            <v>0.97213830099999998</v>
          </cell>
          <cell r="B680">
            <v>1063</v>
          </cell>
        </row>
        <row r="681">
          <cell r="A681">
            <v>0.71595507199999997</v>
          </cell>
          <cell r="B681">
            <v>1172</v>
          </cell>
        </row>
        <row r="682">
          <cell r="A682">
            <v>0.85663470500000005</v>
          </cell>
          <cell r="B682">
            <v>1078</v>
          </cell>
        </row>
        <row r="683">
          <cell r="A683">
            <v>0.81393572999999997</v>
          </cell>
          <cell r="B683">
            <v>1146</v>
          </cell>
        </row>
        <row r="684">
          <cell r="A684">
            <v>0.94649362500000001</v>
          </cell>
          <cell r="B684">
            <v>1131</v>
          </cell>
        </row>
        <row r="685">
          <cell r="A685">
            <v>0.84690220199999999</v>
          </cell>
          <cell r="B685">
            <v>1063</v>
          </cell>
        </row>
        <row r="686">
          <cell r="A686">
            <v>0.859920778</v>
          </cell>
          <cell r="B686">
            <v>1072</v>
          </cell>
        </row>
        <row r="687">
          <cell r="A687">
            <v>0.767021277</v>
          </cell>
          <cell r="B687">
            <v>1067</v>
          </cell>
        </row>
        <row r="688">
          <cell r="A688">
            <v>0.83123181400000001</v>
          </cell>
          <cell r="B688">
            <v>1097</v>
          </cell>
        </row>
        <row r="689">
          <cell r="A689">
            <v>0.71240709000000002</v>
          </cell>
          <cell r="B689">
            <v>1135</v>
          </cell>
        </row>
        <row r="690">
          <cell r="A690">
            <v>0.89132420099999998</v>
          </cell>
          <cell r="B690">
            <v>1199</v>
          </cell>
        </row>
        <row r="691">
          <cell r="A691">
            <v>0.94402605299999998</v>
          </cell>
          <cell r="B691">
            <v>1120</v>
          </cell>
        </row>
        <row r="692">
          <cell r="A692">
            <v>0.97738693499999996</v>
          </cell>
          <cell r="B692">
            <v>1090</v>
          </cell>
        </row>
        <row r="693">
          <cell r="A693">
            <v>0.91766329300000005</v>
          </cell>
          <cell r="B693">
            <v>1118</v>
          </cell>
        </row>
        <row r="694">
          <cell r="A694">
            <v>0.88203474500000001</v>
          </cell>
          <cell r="B694">
            <v>1186</v>
          </cell>
        </row>
        <row r="695">
          <cell r="A695">
            <v>0.79355510900000004</v>
          </cell>
          <cell r="B695">
            <v>1149</v>
          </cell>
        </row>
        <row r="696">
          <cell r="A696">
            <v>0.88165266099999995</v>
          </cell>
          <cell r="B696">
            <v>1090</v>
          </cell>
        </row>
        <row r="697">
          <cell r="A697">
            <v>0.94940372799999995</v>
          </cell>
          <cell r="B697">
            <v>1118</v>
          </cell>
        </row>
        <row r="698">
          <cell r="A698">
            <v>0.78093900000000005</v>
          </cell>
          <cell r="B698">
            <v>1089</v>
          </cell>
        </row>
        <row r="699">
          <cell r="A699">
            <v>0.92553723099999996</v>
          </cell>
          <cell r="B699">
            <v>910</v>
          </cell>
        </row>
        <row r="700">
          <cell r="A700">
            <v>0.92384797900000004</v>
          </cell>
          <cell r="B700">
            <v>1213</v>
          </cell>
        </row>
        <row r="701">
          <cell r="A701">
            <v>0.80541124100000006</v>
          </cell>
          <cell r="B701">
            <v>1147</v>
          </cell>
        </row>
        <row r="702">
          <cell r="A702">
            <v>0.86165972099999999</v>
          </cell>
          <cell r="B702">
            <v>1110</v>
          </cell>
        </row>
        <row r="703">
          <cell r="A703">
            <v>0.96026180500000002</v>
          </cell>
          <cell r="B703">
            <v>1114</v>
          </cell>
        </row>
        <row r="704">
          <cell r="A704">
            <v>0.97046632099999997</v>
          </cell>
          <cell r="B704">
            <v>977</v>
          </cell>
        </row>
        <row r="705">
          <cell r="A705">
            <v>0.23677664000000001</v>
          </cell>
          <cell r="B705">
            <v>955</v>
          </cell>
        </row>
        <row r="706">
          <cell r="A706">
            <v>0.92634560899999996</v>
          </cell>
          <cell r="B706">
            <v>1048</v>
          </cell>
        </row>
        <row r="707">
          <cell r="A707">
            <v>0.73995488499999995</v>
          </cell>
          <cell r="B707">
            <v>1248</v>
          </cell>
        </row>
        <row r="708">
          <cell r="A708">
            <v>0.82718651200000004</v>
          </cell>
          <cell r="B708">
            <v>1119</v>
          </cell>
        </row>
        <row r="709">
          <cell r="A709">
            <v>0.72568282399999995</v>
          </cell>
          <cell r="B709">
            <v>1190</v>
          </cell>
        </row>
        <row r="710">
          <cell r="A710">
            <v>0.67547055300000003</v>
          </cell>
          <cell r="B710">
            <v>1080</v>
          </cell>
        </row>
        <row r="711">
          <cell r="A711">
            <v>0.667723701</v>
          </cell>
          <cell r="B711">
            <v>1056</v>
          </cell>
        </row>
        <row r="712">
          <cell r="A712">
            <v>0.96024096400000003</v>
          </cell>
          <cell r="B712">
            <v>1088</v>
          </cell>
        </row>
        <row r="713">
          <cell r="A713">
            <v>0.74559245600000001</v>
          </cell>
          <cell r="B713">
            <v>1102</v>
          </cell>
        </row>
        <row r="714">
          <cell r="A714">
            <v>0.93738259199999996</v>
          </cell>
          <cell r="B714">
            <v>1090</v>
          </cell>
        </row>
        <row r="715">
          <cell r="A715">
            <v>0.942752963</v>
          </cell>
          <cell r="B715">
            <v>1090</v>
          </cell>
        </row>
        <row r="716">
          <cell r="A716">
            <v>0.49873169099999998</v>
          </cell>
          <cell r="B716">
            <v>938</v>
          </cell>
        </row>
        <row r="717">
          <cell r="A717">
            <v>0.60205479500000003</v>
          </cell>
          <cell r="B717">
            <v>910</v>
          </cell>
        </row>
        <row r="718">
          <cell r="A718">
            <v>0.88828541999999999</v>
          </cell>
          <cell r="B718">
            <v>1219</v>
          </cell>
        </row>
        <row r="719">
          <cell r="A719">
            <v>0.61397379900000004</v>
          </cell>
          <cell r="B719">
            <v>1185</v>
          </cell>
        </row>
        <row r="720">
          <cell r="A720">
            <v>0.79306199600000005</v>
          </cell>
          <cell r="B720">
            <v>1130</v>
          </cell>
        </row>
        <row r="721">
          <cell r="A721">
            <v>0.74235741399999999</v>
          </cell>
          <cell r="B721">
            <v>1299</v>
          </cell>
        </row>
        <row r="722">
          <cell r="A722">
            <v>0.82955894600000002</v>
          </cell>
          <cell r="B722">
            <v>984</v>
          </cell>
        </row>
        <row r="723">
          <cell r="A723">
            <v>0.88627935700000005</v>
          </cell>
          <cell r="B723">
            <v>1250</v>
          </cell>
        </row>
        <row r="724">
          <cell r="A724">
            <v>0.75394017400000002</v>
          </cell>
          <cell r="B724">
            <v>1232</v>
          </cell>
        </row>
        <row r="725">
          <cell r="A725">
            <v>0.82800295499999998</v>
          </cell>
          <cell r="B725">
            <v>1166</v>
          </cell>
        </row>
        <row r="726">
          <cell r="A726">
            <v>0.89190128599999996</v>
          </cell>
          <cell r="B726">
            <v>1127</v>
          </cell>
        </row>
        <row r="727">
          <cell r="A727">
            <v>0.89937973800000004</v>
          </cell>
          <cell r="B727">
            <v>1114</v>
          </cell>
        </row>
        <row r="728">
          <cell r="A728">
            <v>0.85239151099999999</v>
          </cell>
          <cell r="B728">
            <v>1253</v>
          </cell>
        </row>
        <row r="729">
          <cell r="A729">
            <v>0.82957261699999996</v>
          </cell>
          <cell r="B729">
            <v>1188</v>
          </cell>
        </row>
        <row r="730">
          <cell r="A730">
            <v>0.92158464399999995</v>
          </cell>
          <cell r="B730">
            <v>1152</v>
          </cell>
        </row>
        <row r="731">
          <cell r="A731">
            <v>0.91006518599999997</v>
          </cell>
          <cell r="B731">
            <v>1099</v>
          </cell>
        </row>
        <row r="732">
          <cell r="A732">
            <v>0.81347353899999997</v>
          </cell>
          <cell r="B732">
            <v>1046</v>
          </cell>
        </row>
        <row r="733">
          <cell r="A733">
            <v>0.80582320900000004</v>
          </cell>
          <cell r="B733">
            <v>1001</v>
          </cell>
        </row>
        <row r="734">
          <cell r="A734">
            <v>0.94694818300000005</v>
          </cell>
          <cell r="B734">
            <v>1079</v>
          </cell>
        </row>
        <row r="735">
          <cell r="A735">
            <v>0.87944346100000004</v>
          </cell>
          <cell r="B735">
            <v>1243</v>
          </cell>
        </row>
        <row r="736">
          <cell r="A736">
            <v>0.58627657</v>
          </cell>
          <cell r="B736">
            <v>1127</v>
          </cell>
        </row>
        <row r="737">
          <cell r="A737">
            <v>0.68827508500000001</v>
          </cell>
          <cell r="B737">
            <v>1104</v>
          </cell>
        </row>
        <row r="738">
          <cell r="A738">
            <v>0.72882019200000003</v>
          </cell>
          <cell r="B738">
            <v>1051</v>
          </cell>
        </row>
        <row r="739">
          <cell r="A739">
            <v>0.82034233000000001</v>
          </cell>
          <cell r="B739">
            <v>1147</v>
          </cell>
        </row>
        <row r="740">
          <cell r="A740">
            <v>0.84676616900000001</v>
          </cell>
          <cell r="B740">
            <v>1108</v>
          </cell>
        </row>
        <row r="741">
          <cell r="A741">
            <v>0.70664335700000003</v>
          </cell>
          <cell r="B741">
            <v>1090</v>
          </cell>
        </row>
        <row r="742">
          <cell r="A742">
            <v>0.91330510399999998</v>
          </cell>
          <cell r="B742">
            <v>1190</v>
          </cell>
        </row>
        <row r="743">
          <cell r="A743">
            <v>0.96494464899999999</v>
          </cell>
          <cell r="B743">
            <v>1020</v>
          </cell>
        </row>
        <row r="744">
          <cell r="A744">
            <v>0.81751210299999999</v>
          </cell>
          <cell r="B744">
            <v>1221</v>
          </cell>
        </row>
        <row r="745">
          <cell r="A745">
            <v>0.52621400900000004</v>
          </cell>
          <cell r="B745">
            <v>1090</v>
          </cell>
        </row>
        <row r="746">
          <cell r="A746">
            <v>0.94946279300000003</v>
          </cell>
          <cell r="B746">
            <v>1091</v>
          </cell>
        </row>
        <row r="747">
          <cell r="A747">
            <v>0.689353612</v>
          </cell>
          <cell r="B747">
            <v>1020</v>
          </cell>
        </row>
        <row r="748">
          <cell r="A748">
            <v>0.685176165</v>
          </cell>
          <cell r="B748">
            <v>1119</v>
          </cell>
        </row>
        <row r="749">
          <cell r="A749">
            <v>0.24657169500000001</v>
          </cell>
          <cell r="B749">
            <v>1039</v>
          </cell>
        </row>
        <row r="750">
          <cell r="A750">
            <v>0.99677938799999999</v>
          </cell>
          <cell r="B750">
            <v>1091</v>
          </cell>
        </row>
        <row r="751">
          <cell r="A751">
            <v>0.91033165999999999</v>
          </cell>
          <cell r="B751">
            <v>974</v>
          </cell>
        </row>
        <row r="752">
          <cell r="A752">
            <v>0.97776340799999995</v>
          </cell>
          <cell r="B752">
            <v>1187</v>
          </cell>
        </row>
        <row r="753">
          <cell r="A753">
            <v>1</v>
          </cell>
          <cell r="B753">
            <v>1050</v>
          </cell>
        </row>
        <row r="754">
          <cell r="A754">
            <v>0.51158018199999999</v>
          </cell>
          <cell r="B754">
            <v>910</v>
          </cell>
        </row>
        <row r="755">
          <cell r="A755">
            <v>0.76323226499999997</v>
          </cell>
          <cell r="B755">
            <v>1220</v>
          </cell>
        </row>
        <row r="756">
          <cell r="A756">
            <v>0.99376275800000002</v>
          </cell>
          <cell r="B756">
            <v>1120</v>
          </cell>
        </row>
        <row r="757">
          <cell r="A757">
            <v>0.68606524400000002</v>
          </cell>
          <cell r="B757">
            <v>1090</v>
          </cell>
        </row>
        <row r="758">
          <cell r="A758">
            <v>0.97437011299999998</v>
          </cell>
          <cell r="B758">
            <v>1090</v>
          </cell>
        </row>
        <row r="759">
          <cell r="A759">
            <v>0.77022474500000004</v>
          </cell>
          <cell r="B759">
            <v>1247</v>
          </cell>
        </row>
        <row r="760">
          <cell r="A760">
            <v>0.74991382299999998</v>
          </cell>
          <cell r="B760">
            <v>1230</v>
          </cell>
        </row>
        <row r="761">
          <cell r="A761">
            <v>0.73071751600000001</v>
          </cell>
          <cell r="B761">
            <v>1287</v>
          </cell>
        </row>
        <row r="762">
          <cell r="A762">
            <v>0.57164469399999995</v>
          </cell>
          <cell r="B762">
            <v>1147</v>
          </cell>
        </row>
        <row r="763">
          <cell r="A763">
            <v>0.79957094699999998</v>
          </cell>
          <cell r="B763">
            <v>1249</v>
          </cell>
        </row>
        <row r="764">
          <cell r="A764">
            <v>0.85908691800000003</v>
          </cell>
          <cell r="B764">
            <v>1090</v>
          </cell>
        </row>
        <row r="765">
          <cell r="A765">
            <v>0.78504422399999996</v>
          </cell>
          <cell r="B765">
            <v>1018</v>
          </cell>
        </row>
        <row r="766">
          <cell r="A766">
            <v>0.91051172199999997</v>
          </cell>
          <cell r="B766">
            <v>1119</v>
          </cell>
        </row>
        <row r="767">
          <cell r="A767">
            <v>0.89895255699999999</v>
          </cell>
          <cell r="B767">
            <v>1126</v>
          </cell>
        </row>
        <row r="768">
          <cell r="A768">
            <v>0.86830489200000005</v>
          </cell>
          <cell r="B768">
            <v>1154</v>
          </cell>
        </row>
        <row r="769">
          <cell r="A769">
            <v>0.95604395600000003</v>
          </cell>
          <cell r="B769">
            <v>1190</v>
          </cell>
        </row>
        <row r="770">
          <cell r="A770">
            <v>0.85785192300000002</v>
          </cell>
          <cell r="B770">
            <v>1089</v>
          </cell>
        </row>
        <row r="771">
          <cell r="A771">
            <v>0.86904641500000002</v>
          </cell>
          <cell r="B771">
            <v>1120</v>
          </cell>
        </row>
        <row r="772">
          <cell r="A772">
            <v>0.77073117599999996</v>
          </cell>
          <cell r="B772">
            <v>1191</v>
          </cell>
        </row>
        <row r="773">
          <cell r="A773">
            <v>0.96255722700000002</v>
          </cell>
          <cell r="B773">
            <v>1091</v>
          </cell>
        </row>
        <row r="774">
          <cell r="A774">
            <v>0.86878272300000003</v>
          </cell>
          <cell r="B774">
            <v>1229</v>
          </cell>
        </row>
        <row r="775">
          <cell r="A775">
            <v>0.778217932</v>
          </cell>
          <cell r="B775">
            <v>1216</v>
          </cell>
        </row>
        <row r="776">
          <cell r="A776">
            <v>0.73215940700000004</v>
          </cell>
          <cell r="B776">
            <v>1190</v>
          </cell>
        </row>
        <row r="777">
          <cell r="A777">
            <v>0.88166630999999995</v>
          </cell>
          <cell r="B777">
            <v>1171</v>
          </cell>
        </row>
        <row r="778">
          <cell r="A778">
            <v>0.62144326400000005</v>
          </cell>
          <cell r="B778">
            <v>1247</v>
          </cell>
        </row>
        <row r="779">
          <cell r="A779">
            <v>0.54916067099999999</v>
          </cell>
          <cell r="B779">
            <v>965</v>
          </cell>
        </row>
        <row r="780">
          <cell r="A780">
            <v>0.53956834499999995</v>
          </cell>
          <cell r="B780">
            <v>1182</v>
          </cell>
        </row>
        <row r="781">
          <cell r="A781">
            <v>0.95452080299999997</v>
          </cell>
          <cell r="B781">
            <v>1047</v>
          </cell>
        </row>
        <row r="782">
          <cell r="A782">
            <v>0.75725281200000005</v>
          </cell>
          <cell r="B782">
            <v>1004</v>
          </cell>
        </row>
        <row r="783">
          <cell r="A783">
            <v>0.81745120599999999</v>
          </cell>
          <cell r="B783">
            <v>1059</v>
          </cell>
        </row>
        <row r="784">
          <cell r="A784">
            <v>0.69116869400000003</v>
          </cell>
          <cell r="B784">
            <v>1104</v>
          </cell>
        </row>
        <row r="785">
          <cell r="A785">
            <v>0.78444084300000005</v>
          </cell>
          <cell r="B785">
            <v>1248</v>
          </cell>
        </row>
        <row r="786">
          <cell r="A786">
            <v>0.71285122099999998</v>
          </cell>
          <cell r="B786">
            <v>1147</v>
          </cell>
        </row>
        <row r="787">
          <cell r="A787">
            <v>0.79195421600000004</v>
          </cell>
          <cell r="B787">
            <v>1213</v>
          </cell>
        </row>
        <row r="788">
          <cell r="A788">
            <v>0.63528451699999999</v>
          </cell>
          <cell r="B788">
            <v>1296</v>
          </cell>
        </row>
        <row r="789">
          <cell r="A789">
            <v>0.586989969</v>
          </cell>
          <cell r="B789">
            <v>1267</v>
          </cell>
        </row>
        <row r="790">
          <cell r="A790">
            <v>0.70153733500000004</v>
          </cell>
          <cell r="B790">
            <v>1181</v>
          </cell>
        </row>
        <row r="791">
          <cell r="A791">
            <v>0.80394054599999998</v>
          </cell>
          <cell r="B791">
            <v>1177</v>
          </cell>
        </row>
        <row r="792">
          <cell r="A792">
            <v>0.72829248000000002</v>
          </cell>
          <cell r="B792">
            <v>1277</v>
          </cell>
        </row>
        <row r="793">
          <cell r="A793">
            <v>0.78514426000000004</v>
          </cell>
          <cell r="B793">
            <v>1199</v>
          </cell>
        </row>
        <row r="794">
          <cell r="A794">
            <v>0.32471264399999999</v>
          </cell>
          <cell r="B794">
            <v>1226</v>
          </cell>
        </row>
        <row r="795">
          <cell r="A795">
            <v>0.88642139900000005</v>
          </cell>
          <cell r="B795">
            <v>1187</v>
          </cell>
        </row>
        <row r="796">
          <cell r="A796">
            <v>0.90057876100000001</v>
          </cell>
          <cell r="B796">
            <v>1143</v>
          </cell>
        </row>
        <row r="797">
          <cell r="A797">
            <v>0.79892920899999997</v>
          </cell>
          <cell r="B797">
            <v>972</v>
          </cell>
        </row>
        <row r="798">
          <cell r="A798">
            <v>0.46173128899999999</v>
          </cell>
          <cell r="B798">
            <v>1048</v>
          </cell>
        </row>
        <row r="799">
          <cell r="A799">
            <v>0.93888380599999999</v>
          </cell>
          <cell r="B799">
            <v>1247</v>
          </cell>
        </row>
        <row r="800">
          <cell r="A800">
            <v>0.80214987400000004</v>
          </cell>
          <cell r="B800">
            <v>1202</v>
          </cell>
        </row>
        <row r="801">
          <cell r="A801">
            <v>0.89829550000000002</v>
          </cell>
          <cell r="B801">
            <v>1187</v>
          </cell>
        </row>
        <row r="802">
          <cell r="A802">
            <v>0.90487598599999997</v>
          </cell>
          <cell r="B802">
            <v>1023</v>
          </cell>
        </row>
        <row r="803">
          <cell r="A803">
            <v>0.330990864</v>
          </cell>
          <cell r="B803">
            <v>1250</v>
          </cell>
        </row>
        <row r="804">
          <cell r="A804">
            <v>0.74012665499999997</v>
          </cell>
          <cell r="B804">
            <v>1262</v>
          </cell>
        </row>
        <row r="805">
          <cell r="A805">
            <v>0.68553866100000005</v>
          </cell>
          <cell r="B805">
            <v>946</v>
          </cell>
        </row>
        <row r="806">
          <cell r="A806">
            <v>0.86663366900000005</v>
          </cell>
          <cell r="B806">
            <v>1151</v>
          </cell>
        </row>
        <row r="807">
          <cell r="A807">
            <v>0.722147651</v>
          </cell>
          <cell r="B807">
            <v>1084</v>
          </cell>
        </row>
        <row r="808">
          <cell r="A808">
            <v>0.95812303899999995</v>
          </cell>
          <cell r="B808">
            <v>1120</v>
          </cell>
        </row>
        <row r="809">
          <cell r="A809">
            <v>0.69308943099999998</v>
          </cell>
          <cell r="B809">
            <v>1090</v>
          </cell>
        </row>
        <row r="810">
          <cell r="A810">
            <v>0.71102388000000005</v>
          </cell>
          <cell r="B810">
            <v>1088</v>
          </cell>
        </row>
        <row r="811">
          <cell r="A811">
            <v>0.71102388000000005</v>
          </cell>
          <cell r="B811">
            <v>1049</v>
          </cell>
        </row>
        <row r="812">
          <cell r="A812">
            <v>0.80605507499999995</v>
          </cell>
          <cell r="B812">
            <v>1118</v>
          </cell>
        </row>
        <row r="813">
          <cell r="A813">
            <v>0.87673752400000005</v>
          </cell>
          <cell r="B813">
            <v>1281</v>
          </cell>
        </row>
        <row r="814">
          <cell r="A814">
            <v>0.95483745399999997</v>
          </cell>
          <cell r="B814">
            <v>980</v>
          </cell>
        </row>
        <row r="815">
          <cell r="A815">
            <v>0.86648781600000002</v>
          </cell>
          <cell r="B815">
            <v>1095</v>
          </cell>
        </row>
        <row r="816">
          <cell r="A816">
            <v>0.820888167</v>
          </cell>
          <cell r="B816">
            <v>1313</v>
          </cell>
        </row>
        <row r="817">
          <cell r="A817">
            <v>0.84759045499999996</v>
          </cell>
          <cell r="B817">
            <v>1212</v>
          </cell>
        </row>
        <row r="818">
          <cell r="A818">
            <v>0.94831902700000004</v>
          </cell>
          <cell r="B818">
            <v>1209</v>
          </cell>
        </row>
        <row r="819">
          <cell r="A819">
            <v>0.95154036399999997</v>
          </cell>
          <cell r="B819">
            <v>1086</v>
          </cell>
        </row>
        <row r="820">
          <cell r="A820">
            <v>0.80324193799999999</v>
          </cell>
          <cell r="B820">
            <v>1055</v>
          </cell>
        </row>
        <row r="821">
          <cell r="A821">
            <v>0.81759352900000004</v>
          </cell>
          <cell r="B821">
            <v>1050</v>
          </cell>
        </row>
        <row r="822">
          <cell r="A822">
            <v>0.655469423</v>
          </cell>
          <cell r="B822">
            <v>1019</v>
          </cell>
        </row>
        <row r="823">
          <cell r="A823">
            <v>0.99206349199999999</v>
          </cell>
          <cell r="B823">
            <v>1050</v>
          </cell>
        </row>
        <row r="824">
          <cell r="A824">
            <v>0.66434648100000004</v>
          </cell>
          <cell r="B824">
            <v>1015</v>
          </cell>
        </row>
        <row r="825">
          <cell r="A825">
            <v>0.70925963700000005</v>
          </cell>
          <cell r="B825">
            <v>1145</v>
          </cell>
        </row>
        <row r="826">
          <cell r="A826">
            <v>0.76541164900000003</v>
          </cell>
          <cell r="B826">
            <v>1239</v>
          </cell>
        </row>
        <row r="827">
          <cell r="A827">
            <v>0.55767918100000002</v>
          </cell>
          <cell r="B827">
            <v>1143</v>
          </cell>
        </row>
        <row r="828">
          <cell r="A828">
            <v>0.80343980299999995</v>
          </cell>
          <cell r="B828">
            <v>1084</v>
          </cell>
        </row>
        <row r="829">
          <cell r="A829">
            <v>1</v>
          </cell>
          <cell r="B829">
            <v>1050</v>
          </cell>
        </row>
        <row r="830">
          <cell r="A830">
            <v>0.91669995999999998</v>
          </cell>
          <cell r="B830">
            <v>1165</v>
          </cell>
        </row>
        <row r="831">
          <cell r="A831">
            <v>0.85106599000000005</v>
          </cell>
          <cell r="B831">
            <v>1257</v>
          </cell>
        </row>
        <row r="832">
          <cell r="A832">
            <v>0.986887509</v>
          </cell>
          <cell r="B832">
            <v>1057</v>
          </cell>
        </row>
        <row r="833">
          <cell r="A833">
            <v>0.928764531</v>
          </cell>
          <cell r="B833">
            <v>1078</v>
          </cell>
        </row>
        <row r="834">
          <cell r="A834">
            <v>0.91201443400000004</v>
          </cell>
          <cell r="B834">
            <v>1052</v>
          </cell>
        </row>
        <row r="835">
          <cell r="A835">
            <v>0.783698012</v>
          </cell>
          <cell r="B835">
            <v>984</v>
          </cell>
        </row>
        <row r="836">
          <cell r="A836">
            <v>0.69345227200000004</v>
          </cell>
          <cell r="B836">
            <v>1213</v>
          </cell>
        </row>
        <row r="837">
          <cell r="A837">
            <v>0.69345227200000004</v>
          </cell>
          <cell r="B837">
            <v>1133</v>
          </cell>
        </row>
        <row r="838">
          <cell r="A838">
            <v>0.69345227200000004</v>
          </cell>
          <cell r="B838">
            <v>1212</v>
          </cell>
        </row>
        <row r="839">
          <cell r="A839">
            <v>0.69345227200000004</v>
          </cell>
          <cell r="B839">
            <v>1163</v>
          </cell>
        </row>
        <row r="840">
          <cell r="A840">
            <v>0.69345227200000004</v>
          </cell>
          <cell r="B840">
            <v>1191</v>
          </cell>
        </row>
        <row r="841">
          <cell r="A841">
            <v>0.69345227200000004</v>
          </cell>
          <cell r="B841">
            <v>1219</v>
          </cell>
        </row>
        <row r="842">
          <cell r="A842">
            <v>0.69345227200000004</v>
          </cell>
          <cell r="B842">
            <v>1218</v>
          </cell>
        </row>
        <row r="843">
          <cell r="A843">
            <v>0.69345227200000004</v>
          </cell>
          <cell r="B843">
            <v>1211</v>
          </cell>
        </row>
        <row r="844">
          <cell r="A844">
            <v>0.69345227200000004</v>
          </cell>
          <cell r="B844">
            <v>1179</v>
          </cell>
        </row>
        <row r="845">
          <cell r="A845">
            <v>0.56827352499999995</v>
          </cell>
          <cell r="B845">
            <v>1168</v>
          </cell>
        </row>
        <row r="846">
          <cell r="A846">
            <v>0.56827352499999995</v>
          </cell>
          <cell r="B846">
            <v>1172</v>
          </cell>
        </row>
        <row r="847">
          <cell r="A847">
            <v>0.56827352499999995</v>
          </cell>
          <cell r="B847">
            <v>1158</v>
          </cell>
        </row>
        <row r="848">
          <cell r="A848">
            <v>0.74620036000000001</v>
          </cell>
          <cell r="B848">
            <v>1086</v>
          </cell>
        </row>
        <row r="849">
          <cell r="A849">
            <v>0.79200825900000005</v>
          </cell>
          <cell r="B849">
            <v>1184</v>
          </cell>
        </row>
        <row r="850">
          <cell r="A850">
            <v>0.770666772</v>
          </cell>
          <cell r="B850">
            <v>1176</v>
          </cell>
        </row>
        <row r="851">
          <cell r="A851">
            <v>0.72000899399999996</v>
          </cell>
          <cell r="B851">
            <v>1238</v>
          </cell>
        </row>
        <row r="852">
          <cell r="A852">
            <v>0.98092265000000001</v>
          </cell>
          <cell r="B852">
            <v>1184</v>
          </cell>
        </row>
        <row r="853">
          <cell r="A853">
            <v>0.82229865300000005</v>
          </cell>
          <cell r="B853">
            <v>1039</v>
          </cell>
        </row>
        <row r="854">
          <cell r="A854">
            <v>0.67920524699999996</v>
          </cell>
          <cell r="B854">
            <v>1057</v>
          </cell>
        </row>
        <row r="855">
          <cell r="A855">
            <v>0.79724612699999997</v>
          </cell>
          <cell r="B855">
            <v>1063</v>
          </cell>
        </row>
        <row r="856">
          <cell r="A856">
            <v>0.61492652400000003</v>
          </cell>
          <cell r="B856">
            <v>1297</v>
          </cell>
        </row>
        <row r="857">
          <cell r="A857">
            <v>0.80189869899999999</v>
          </cell>
          <cell r="B857">
            <v>1128</v>
          </cell>
        </row>
        <row r="858">
          <cell r="A858">
            <v>0.69609221300000002</v>
          </cell>
          <cell r="B858">
            <v>1082</v>
          </cell>
        </row>
        <row r="859">
          <cell r="A859">
            <v>0.75059747399999999</v>
          </cell>
          <cell r="B859">
            <v>1132</v>
          </cell>
        </row>
        <row r="860">
          <cell r="A860">
            <v>0.94434137299999998</v>
          </cell>
          <cell r="B860">
            <v>1050</v>
          </cell>
        </row>
        <row r="861">
          <cell r="A861">
            <v>0.97874493900000004</v>
          </cell>
          <cell r="B861">
            <v>1129</v>
          </cell>
        </row>
        <row r="862">
          <cell r="A862">
            <v>0.92791127500000004</v>
          </cell>
          <cell r="B862">
            <v>1090</v>
          </cell>
        </row>
        <row r="863">
          <cell r="A863">
            <v>0.85250162399999996</v>
          </cell>
          <cell r="B863">
            <v>1245</v>
          </cell>
        </row>
        <row r="864">
          <cell r="A864">
            <v>0.98708361700000002</v>
          </cell>
          <cell r="B864">
            <v>1121</v>
          </cell>
        </row>
        <row r="865">
          <cell r="A865">
            <v>0.98953075300000004</v>
          </cell>
          <cell r="B865">
            <v>1122</v>
          </cell>
        </row>
        <row r="866">
          <cell r="A866">
            <v>0.95952509399999997</v>
          </cell>
          <cell r="B866">
            <v>1050</v>
          </cell>
        </row>
        <row r="867">
          <cell r="A867">
            <v>0.870645259</v>
          </cell>
          <cell r="B867">
            <v>1114</v>
          </cell>
        </row>
        <row r="868">
          <cell r="A868">
            <v>0.82707993499999999</v>
          </cell>
          <cell r="B868">
            <v>1088</v>
          </cell>
        </row>
        <row r="869">
          <cell r="A869">
            <v>0.93382352899999999</v>
          </cell>
          <cell r="B869">
            <v>1051</v>
          </cell>
        </row>
        <row r="870">
          <cell r="A870">
            <v>0.68001083799999995</v>
          </cell>
          <cell r="B870">
            <v>1119</v>
          </cell>
        </row>
        <row r="871">
          <cell r="A871">
            <v>0.770228672</v>
          </cell>
          <cell r="B871">
            <v>1117</v>
          </cell>
        </row>
        <row r="872">
          <cell r="A872">
            <v>0.45993107300000002</v>
          </cell>
          <cell r="B872">
            <v>1304</v>
          </cell>
        </row>
        <row r="873">
          <cell r="A873">
            <v>0.87324485500000004</v>
          </cell>
          <cell r="B873">
            <v>1090</v>
          </cell>
        </row>
        <row r="874">
          <cell r="A874">
            <v>0.92629945700000005</v>
          </cell>
          <cell r="B874">
            <v>1017</v>
          </cell>
        </row>
        <row r="875">
          <cell r="A875">
            <v>0.83162334699999996</v>
          </cell>
          <cell r="B875">
            <v>1148</v>
          </cell>
        </row>
        <row r="876">
          <cell r="A876">
            <v>0.79227467799999995</v>
          </cell>
          <cell r="B876">
            <v>1049</v>
          </cell>
        </row>
        <row r="877">
          <cell r="A877">
            <v>0.89470726</v>
          </cell>
          <cell r="B877">
            <v>1086</v>
          </cell>
        </row>
        <row r="878">
          <cell r="A878">
            <v>0.80188679200000001</v>
          </cell>
          <cell r="B878">
            <v>1006</v>
          </cell>
        </row>
        <row r="879">
          <cell r="A879">
            <v>0.92588992800000003</v>
          </cell>
          <cell r="B879">
            <v>1067</v>
          </cell>
        </row>
        <row r="880">
          <cell r="A880">
            <v>0.75298126099999996</v>
          </cell>
          <cell r="B880">
            <v>1105</v>
          </cell>
        </row>
        <row r="881">
          <cell r="A881">
            <v>0.90637135000000002</v>
          </cell>
          <cell r="B881">
            <v>1041</v>
          </cell>
        </row>
        <row r="882">
          <cell r="A882">
            <v>0.76714513600000001</v>
          </cell>
          <cell r="B882">
            <v>1085</v>
          </cell>
        </row>
        <row r="883">
          <cell r="A883">
            <v>0.69532100100000005</v>
          </cell>
          <cell r="B883">
            <v>1229</v>
          </cell>
        </row>
        <row r="884">
          <cell r="A884">
            <v>0.85730057999999998</v>
          </cell>
          <cell r="B884">
            <v>1040</v>
          </cell>
        </row>
        <row r="885">
          <cell r="A885">
            <v>0.45962209700000001</v>
          </cell>
          <cell r="B885">
            <v>1008</v>
          </cell>
        </row>
        <row r="886">
          <cell r="A886">
            <v>0.72461759999999997</v>
          </cell>
          <cell r="B886">
            <v>1109</v>
          </cell>
        </row>
        <row r="887">
          <cell r="A887">
            <v>0.84817604499999999</v>
          </cell>
          <cell r="B887">
            <v>1020</v>
          </cell>
        </row>
        <row r="888">
          <cell r="A888">
            <v>0.752990771</v>
          </cell>
          <cell r="B888">
            <v>949</v>
          </cell>
        </row>
        <row r="889">
          <cell r="A889">
            <v>0.85394153100000003</v>
          </cell>
          <cell r="B889">
            <v>1055</v>
          </cell>
        </row>
        <row r="890">
          <cell r="A890">
            <v>0.88253514399999999</v>
          </cell>
          <cell r="B890">
            <v>1074</v>
          </cell>
        </row>
        <row r="891">
          <cell r="A891">
            <v>0.89484441800000003</v>
          </cell>
          <cell r="B891">
            <v>1093</v>
          </cell>
        </row>
        <row r="892">
          <cell r="A892">
            <v>0.95619757699999997</v>
          </cell>
          <cell r="B892">
            <v>984</v>
          </cell>
        </row>
        <row r="893">
          <cell r="A893">
            <v>0.94203064299999995</v>
          </cell>
          <cell r="B893">
            <v>1068</v>
          </cell>
        </row>
        <row r="894">
          <cell r="A894">
            <v>0.81289457799999998</v>
          </cell>
          <cell r="B894">
            <v>1116</v>
          </cell>
        </row>
        <row r="895">
          <cell r="A895">
            <v>0.65463461099999998</v>
          </cell>
          <cell r="B895">
            <v>1300</v>
          </cell>
        </row>
        <row r="896">
          <cell r="A896">
            <v>0.99901530699999996</v>
          </cell>
          <cell r="B896">
            <v>982</v>
          </cell>
        </row>
        <row r="897">
          <cell r="A897">
            <v>0.91541387399999996</v>
          </cell>
          <cell r="B897">
            <v>1113</v>
          </cell>
        </row>
        <row r="898">
          <cell r="A898">
            <v>0.84458672899999998</v>
          </cell>
          <cell r="B898">
            <v>1031</v>
          </cell>
        </row>
        <row r="899">
          <cell r="A899">
            <v>0.88456238600000003</v>
          </cell>
          <cell r="B899">
            <v>1102</v>
          </cell>
        </row>
        <row r="900">
          <cell r="A900">
            <v>0.93351976599999997</v>
          </cell>
          <cell r="B900">
            <v>913</v>
          </cell>
        </row>
        <row r="901">
          <cell r="A901">
            <v>0.70887713100000005</v>
          </cell>
          <cell r="B901">
            <v>1182</v>
          </cell>
        </row>
        <row r="902">
          <cell r="A902">
            <v>0.973453177</v>
          </cell>
          <cell r="B902">
            <v>1072</v>
          </cell>
        </row>
        <row r="903">
          <cell r="A903">
            <v>0.93616471000000001</v>
          </cell>
          <cell r="B903">
            <v>1189</v>
          </cell>
        </row>
        <row r="904">
          <cell r="A904">
            <v>0.87171681999999995</v>
          </cell>
          <cell r="B904">
            <v>1231</v>
          </cell>
        </row>
        <row r="905">
          <cell r="A905">
            <v>0.60019124499999998</v>
          </cell>
          <cell r="B905">
            <v>1357</v>
          </cell>
        </row>
        <row r="906">
          <cell r="A906">
            <v>0.87963749599999996</v>
          </cell>
          <cell r="B906">
            <v>1207</v>
          </cell>
        </row>
        <row r="907">
          <cell r="A907">
            <v>0.88830329100000005</v>
          </cell>
          <cell r="B907">
            <v>1247</v>
          </cell>
        </row>
        <row r="908">
          <cell r="A908">
            <v>0.76246153800000005</v>
          </cell>
          <cell r="B908">
            <v>1247</v>
          </cell>
        </row>
        <row r="909">
          <cell r="A909">
            <v>0.84797630800000001</v>
          </cell>
          <cell r="B909">
            <v>1117</v>
          </cell>
        </row>
        <row r="910">
          <cell r="A910">
            <v>0.86257055999999999</v>
          </cell>
          <cell r="B910">
            <v>1241</v>
          </cell>
        </row>
        <row r="911">
          <cell r="A911">
            <v>0.87464499100000004</v>
          </cell>
          <cell r="B911">
            <v>980</v>
          </cell>
        </row>
        <row r="912">
          <cell r="A912">
            <v>0.90516561500000003</v>
          </cell>
          <cell r="B912">
            <v>1190</v>
          </cell>
        </row>
        <row r="913">
          <cell r="A913">
            <v>0.90643063599999996</v>
          </cell>
          <cell r="B913">
            <v>1061</v>
          </cell>
        </row>
        <row r="914">
          <cell r="A914">
            <v>0.93917963199999999</v>
          </cell>
          <cell r="B914">
            <v>1104</v>
          </cell>
        </row>
        <row r="915">
          <cell r="A915">
            <v>0.57030588000000004</v>
          </cell>
          <cell r="B915">
            <v>1337</v>
          </cell>
        </row>
        <row r="916">
          <cell r="A916">
            <v>0.93055847199999997</v>
          </cell>
          <cell r="B916">
            <v>1168</v>
          </cell>
        </row>
        <row r="917">
          <cell r="A917">
            <v>0.817250213</v>
          </cell>
          <cell r="B917">
            <v>1183</v>
          </cell>
        </row>
        <row r="918">
          <cell r="A918">
            <v>0.89098988400000001</v>
          </cell>
          <cell r="B918">
            <v>917</v>
          </cell>
        </row>
        <row r="919">
          <cell r="A919">
            <v>0.97227997200000005</v>
          </cell>
          <cell r="B919">
            <v>1161</v>
          </cell>
        </row>
        <row r="920">
          <cell r="A920">
            <v>0.91308011</v>
          </cell>
          <cell r="B920">
            <v>1235</v>
          </cell>
        </row>
        <row r="921">
          <cell r="A921">
            <v>0.87222222199999999</v>
          </cell>
          <cell r="B921">
            <v>998</v>
          </cell>
        </row>
        <row r="922">
          <cell r="A922">
            <v>0.89646464599999998</v>
          </cell>
          <cell r="B922">
            <v>980</v>
          </cell>
        </row>
        <row r="923">
          <cell r="A923">
            <v>0.99242041400000003</v>
          </cell>
          <cell r="B923">
            <v>993</v>
          </cell>
        </row>
        <row r="924">
          <cell r="A924">
            <v>0.96460994</v>
          </cell>
          <cell r="B924">
            <v>1051</v>
          </cell>
        </row>
        <row r="925">
          <cell r="A925">
            <v>0.95649748999999995</v>
          </cell>
          <cell r="B925">
            <v>1022</v>
          </cell>
        </row>
        <row r="926">
          <cell r="A926">
            <v>0.96371780500000004</v>
          </cell>
          <cell r="B926">
            <v>979</v>
          </cell>
        </row>
        <row r="927">
          <cell r="A927">
            <v>0.72123254699999995</v>
          </cell>
          <cell r="B927">
            <v>1041</v>
          </cell>
        </row>
        <row r="928">
          <cell r="A928">
            <v>0.85044578699999995</v>
          </cell>
          <cell r="B928">
            <v>1044</v>
          </cell>
        </row>
        <row r="929">
          <cell r="A929">
            <v>0.85044578699999995</v>
          </cell>
          <cell r="B929">
            <v>1129</v>
          </cell>
        </row>
        <row r="930">
          <cell r="A930">
            <v>0.82761394099999996</v>
          </cell>
          <cell r="B930">
            <v>1090</v>
          </cell>
        </row>
        <row r="931">
          <cell r="A931">
            <v>0.76083373700000001</v>
          </cell>
          <cell r="B931">
            <v>1190</v>
          </cell>
        </row>
        <row r="932">
          <cell r="A932">
            <v>0.87839322099999995</v>
          </cell>
          <cell r="B932">
            <v>1090</v>
          </cell>
        </row>
        <row r="933">
          <cell r="A933">
            <v>0.73249452999999998</v>
          </cell>
          <cell r="B933">
            <v>1190</v>
          </cell>
        </row>
        <row r="934">
          <cell r="A934">
            <v>0.86676943399999995</v>
          </cell>
          <cell r="B934">
            <v>1090</v>
          </cell>
        </row>
        <row r="935">
          <cell r="A935">
            <v>0.72615699300000003</v>
          </cell>
          <cell r="B935">
            <v>1090</v>
          </cell>
        </row>
        <row r="936">
          <cell r="A936">
            <v>0.84736024799999998</v>
          </cell>
          <cell r="B936">
            <v>1150</v>
          </cell>
        </row>
        <row r="937">
          <cell r="A937">
            <v>0.93636363600000005</v>
          </cell>
          <cell r="B937">
            <v>1050</v>
          </cell>
        </row>
        <row r="938">
          <cell r="A938">
            <v>0.88443778100000003</v>
          </cell>
          <cell r="B938">
            <v>1090</v>
          </cell>
        </row>
        <row r="939">
          <cell r="A939">
            <v>0.87261035799999997</v>
          </cell>
          <cell r="B939">
            <v>1190</v>
          </cell>
        </row>
        <row r="940">
          <cell r="A940">
            <v>0.81619515499999995</v>
          </cell>
          <cell r="B940">
            <v>1120</v>
          </cell>
        </row>
        <row r="941">
          <cell r="A941">
            <v>0.90136054399999999</v>
          </cell>
          <cell r="B941">
            <v>1120</v>
          </cell>
        </row>
        <row r="942">
          <cell r="A942">
            <v>0.97441860499999999</v>
          </cell>
          <cell r="B942">
            <v>915</v>
          </cell>
        </row>
        <row r="943">
          <cell r="A943">
            <v>0.73537359999999996</v>
          </cell>
          <cell r="B943">
            <v>963</v>
          </cell>
        </row>
        <row r="944">
          <cell r="A944">
            <v>0.73997168499999999</v>
          </cell>
          <cell r="B944">
            <v>1137</v>
          </cell>
        </row>
        <row r="945">
          <cell r="A945">
            <v>0.47689902699999998</v>
          </cell>
          <cell r="B945">
            <v>1376</v>
          </cell>
        </row>
        <row r="946">
          <cell r="A946">
            <v>0.76747663600000005</v>
          </cell>
          <cell r="B946">
            <v>1120</v>
          </cell>
        </row>
        <row r="947">
          <cell r="A947">
            <v>0.60440018699999998</v>
          </cell>
          <cell r="B947">
            <v>1080</v>
          </cell>
        </row>
        <row r="948">
          <cell r="A948">
            <v>0.76871774900000001</v>
          </cell>
          <cell r="B948">
            <v>1220</v>
          </cell>
        </row>
        <row r="949">
          <cell r="A949">
            <v>0.91997941599999999</v>
          </cell>
          <cell r="B949">
            <v>954</v>
          </cell>
        </row>
        <row r="950">
          <cell r="A950">
            <v>0.60440018699999998</v>
          </cell>
          <cell r="B950">
            <v>1081</v>
          </cell>
        </row>
        <row r="951">
          <cell r="A951">
            <v>0.69345227200000004</v>
          </cell>
          <cell r="B951">
            <v>1198</v>
          </cell>
        </row>
        <row r="952">
          <cell r="A952">
            <v>0.89307535599999999</v>
          </cell>
          <cell r="B952">
            <v>1113</v>
          </cell>
        </row>
        <row r="953">
          <cell r="A953">
            <v>0.99767801899999997</v>
          </cell>
          <cell r="B953">
            <v>1055</v>
          </cell>
        </row>
        <row r="954">
          <cell r="A954">
            <v>0.72156795299999998</v>
          </cell>
          <cell r="B954">
            <v>1136</v>
          </cell>
        </row>
        <row r="955">
          <cell r="A955">
            <v>0.55730769199999997</v>
          </cell>
          <cell r="B955">
            <v>1294</v>
          </cell>
        </row>
        <row r="956">
          <cell r="A956">
            <v>0.248956073</v>
          </cell>
          <cell r="B956">
            <v>1331</v>
          </cell>
        </row>
        <row r="957">
          <cell r="A957">
            <v>0.93856308700000002</v>
          </cell>
          <cell r="B957">
            <v>916</v>
          </cell>
        </row>
        <row r="958">
          <cell r="A958">
            <v>0.69184890700000001</v>
          </cell>
          <cell r="B958">
            <v>1120</v>
          </cell>
        </row>
        <row r="959">
          <cell r="A959">
            <v>0.70628714400000003</v>
          </cell>
          <cell r="B959">
            <v>1034</v>
          </cell>
        </row>
        <row r="960">
          <cell r="A960">
            <v>0.94749773699999995</v>
          </cell>
          <cell r="B960">
            <v>1093</v>
          </cell>
        </row>
        <row r="961">
          <cell r="A961">
            <v>0.93650024200000004</v>
          </cell>
          <cell r="B961">
            <v>1076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workbookViewId="0"/>
  </sheetViews>
  <sheetFormatPr baseColWidth="10" defaultColWidth="11.1640625" defaultRowHeight="15" customHeight="1"/>
  <cols>
    <col min="1" max="26" width="10.5" customWidth="1"/>
  </cols>
  <sheetData>
    <row r="1" spans="1:1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 ht="15.75" customHeight="1">
      <c r="A2" s="1">
        <v>0.60360998799999999</v>
      </c>
      <c r="B2" s="1">
        <v>1095</v>
      </c>
      <c r="C2" s="1">
        <v>21</v>
      </c>
      <c r="D2" s="1">
        <v>68619</v>
      </c>
      <c r="E2" s="1">
        <v>17450</v>
      </c>
      <c r="F2" s="1">
        <v>17450</v>
      </c>
      <c r="G2" s="1" t="s">
        <v>15</v>
      </c>
      <c r="H2" s="1">
        <v>0.21018835599999999</v>
      </c>
      <c r="I2" s="1">
        <v>0.133989726</v>
      </c>
      <c r="J2" s="1">
        <v>0.15196917800000001</v>
      </c>
      <c r="K2" s="1">
        <v>0.147046233</v>
      </c>
      <c r="L2" s="1">
        <v>0.35680650699999999</v>
      </c>
      <c r="M2" s="1" t="s">
        <v>16</v>
      </c>
      <c r="N2" s="1" t="s">
        <v>17</v>
      </c>
    </row>
    <row r="3" spans="1:17" ht="15.75" customHeight="1">
      <c r="A3" s="1">
        <v>0.98746383800000004</v>
      </c>
      <c r="B3" s="1">
        <v>1090</v>
      </c>
      <c r="C3" s="1">
        <v>23</v>
      </c>
      <c r="D3" s="1">
        <v>1133</v>
      </c>
      <c r="E3" s="1">
        <v>31950</v>
      </c>
      <c r="F3" s="1">
        <v>31950</v>
      </c>
      <c r="G3" s="1" t="s">
        <v>15</v>
      </c>
      <c r="H3" s="1">
        <v>0.25301204799999999</v>
      </c>
      <c r="I3" s="1">
        <v>0.120481928</v>
      </c>
      <c r="J3" s="1">
        <v>0.15060240999999999</v>
      </c>
      <c r="K3" s="1">
        <v>0.12650602399999999</v>
      </c>
      <c r="L3" s="1">
        <v>0.34939758999999998</v>
      </c>
      <c r="M3" s="1" t="s">
        <v>16</v>
      </c>
      <c r="N3" s="1" t="s">
        <v>17</v>
      </c>
    </row>
    <row r="4" spans="1:17" ht="15.75" customHeight="1">
      <c r="A4" s="1">
        <v>0.91324464999999999</v>
      </c>
      <c r="B4" s="1">
        <v>1337</v>
      </c>
      <c r="C4" s="1">
        <v>30</v>
      </c>
      <c r="D4" s="1">
        <v>3432</v>
      </c>
      <c r="E4" s="1">
        <v>49140</v>
      </c>
      <c r="F4" s="1">
        <v>49140</v>
      </c>
      <c r="G4" s="1" t="s">
        <v>15</v>
      </c>
      <c r="H4" s="1">
        <v>0.28270042200000001</v>
      </c>
      <c r="I4" s="1">
        <v>0.105485232</v>
      </c>
      <c r="J4" s="1">
        <v>0.13924050599999999</v>
      </c>
      <c r="K4" s="1">
        <v>0.194092827</v>
      </c>
      <c r="L4" s="1">
        <v>0.278481013</v>
      </c>
      <c r="M4" s="1" t="s">
        <v>16</v>
      </c>
      <c r="N4" s="1" t="s">
        <v>17</v>
      </c>
    </row>
    <row r="5" spans="1:17" ht="15.75" customHeight="1">
      <c r="A5" s="1">
        <v>0.68019093100000005</v>
      </c>
      <c r="B5" s="1">
        <v>1295</v>
      </c>
      <c r="C5" s="1">
        <v>31</v>
      </c>
      <c r="D5" s="1">
        <v>1032</v>
      </c>
      <c r="E5" s="1">
        <v>37400</v>
      </c>
      <c r="F5" s="1">
        <v>37400</v>
      </c>
      <c r="G5" s="1" t="s">
        <v>15</v>
      </c>
      <c r="H5" s="1">
        <v>0.21296296300000001</v>
      </c>
      <c r="I5" s="1">
        <v>9.2592593000000001E-2</v>
      </c>
      <c r="J5" s="1">
        <v>0.12962963</v>
      </c>
      <c r="K5" s="1">
        <v>0.111111111</v>
      </c>
      <c r="L5" s="1">
        <v>0.45370370399999999</v>
      </c>
      <c r="M5" s="1" t="s">
        <v>16</v>
      </c>
      <c r="N5" s="1" t="s">
        <v>17</v>
      </c>
      <c r="Q5" s="1">
        <f>AVERAGE(E2:E961)</f>
        <v>29572.431250000001</v>
      </c>
    </row>
    <row r="6" spans="1:17" ht="15.75" customHeight="1">
      <c r="A6" s="1">
        <v>0.892444444</v>
      </c>
      <c r="B6" s="1">
        <v>1112</v>
      </c>
      <c r="C6" s="1">
        <v>24</v>
      </c>
      <c r="D6" s="1">
        <v>530</v>
      </c>
      <c r="E6" s="1">
        <v>27375</v>
      </c>
      <c r="F6" s="1">
        <v>27375</v>
      </c>
      <c r="G6" s="1" t="s">
        <v>15</v>
      </c>
      <c r="H6" s="1">
        <v>0.33879781399999997</v>
      </c>
      <c r="I6" s="1">
        <v>0.158469945</v>
      </c>
      <c r="J6" s="1">
        <v>9.8360656000000005E-2</v>
      </c>
      <c r="K6" s="1">
        <v>0.136612022</v>
      </c>
      <c r="L6" s="1">
        <v>0.26775956299999998</v>
      </c>
      <c r="M6" s="1" t="s">
        <v>16</v>
      </c>
      <c r="N6" s="1" t="s">
        <v>17</v>
      </c>
    </row>
    <row r="7" spans="1:17" ht="15.75" customHeight="1">
      <c r="A7" s="1">
        <v>0.90134529100000005</v>
      </c>
      <c r="B7" s="1">
        <v>868</v>
      </c>
      <c r="C7" s="1">
        <v>16</v>
      </c>
      <c r="D7" s="1">
        <v>12188</v>
      </c>
      <c r="E7" s="1">
        <v>20604</v>
      </c>
      <c r="F7" s="1">
        <v>20604</v>
      </c>
      <c r="G7" s="1" t="s">
        <v>15</v>
      </c>
      <c r="H7" s="1">
        <v>0.34782608700000001</v>
      </c>
      <c r="I7" s="1">
        <v>0.34782608700000001</v>
      </c>
      <c r="J7" s="1">
        <v>4.3478260999999997E-2</v>
      </c>
      <c r="K7" s="1">
        <v>8.6956521999999994E-2</v>
      </c>
      <c r="L7" s="1">
        <v>0.17391304299999999</v>
      </c>
      <c r="M7" s="1" t="s">
        <v>16</v>
      </c>
      <c r="N7" s="1" t="s">
        <v>17</v>
      </c>
    </row>
    <row r="8" spans="1:17" ht="15.75" customHeight="1">
      <c r="A8" s="1">
        <v>0.43473107100000002</v>
      </c>
      <c r="B8" s="1">
        <v>1050</v>
      </c>
      <c r="C8" s="1">
        <v>20</v>
      </c>
      <c r="D8" s="1">
        <v>25975</v>
      </c>
      <c r="E8" s="1">
        <v>17488</v>
      </c>
      <c r="F8" s="1">
        <v>17488</v>
      </c>
      <c r="G8" s="1" t="s">
        <v>15</v>
      </c>
      <c r="H8" s="1">
        <v>0.60264105599999995</v>
      </c>
      <c r="I8" s="1">
        <v>0.190876351</v>
      </c>
      <c r="J8" s="1">
        <v>0.12605042</v>
      </c>
      <c r="K8" s="1">
        <v>4.8019208000000001E-2</v>
      </c>
      <c r="L8" s="1">
        <v>3.2412965000000002E-2</v>
      </c>
      <c r="M8" s="1" t="s">
        <v>16</v>
      </c>
      <c r="N8" s="1" t="s">
        <v>17</v>
      </c>
    </row>
    <row r="9" spans="1:17" ht="15.75" customHeight="1">
      <c r="A9" s="1">
        <v>4.4950055000000003E-2</v>
      </c>
      <c r="B9" s="1">
        <v>1535</v>
      </c>
      <c r="C9" s="1">
        <v>34</v>
      </c>
      <c r="D9" s="1">
        <v>5579</v>
      </c>
      <c r="E9" s="1">
        <v>59710</v>
      </c>
      <c r="F9" s="1">
        <v>59710</v>
      </c>
      <c r="G9" s="1" t="s">
        <v>23</v>
      </c>
      <c r="H9" s="1">
        <v>0.31498470899999997</v>
      </c>
      <c r="I9" s="1">
        <v>0.23853210999999999</v>
      </c>
      <c r="J9" s="1">
        <v>0.20795106999999999</v>
      </c>
      <c r="K9" s="1">
        <v>9.4801223000000004E-2</v>
      </c>
      <c r="L9" s="1">
        <v>0.143730887</v>
      </c>
      <c r="M9" s="1">
        <v>1</v>
      </c>
      <c r="N9" s="1" t="s">
        <v>25</v>
      </c>
    </row>
    <row r="10" spans="1:17" ht="15.75" customHeight="1">
      <c r="A10" s="1">
        <v>4.7353553E-2</v>
      </c>
      <c r="B10" s="1">
        <v>1553</v>
      </c>
      <c r="C10" s="1">
        <v>35</v>
      </c>
      <c r="D10" s="1">
        <v>4571</v>
      </c>
      <c r="E10" s="1">
        <v>60156</v>
      </c>
      <c r="F10" s="1">
        <v>60156</v>
      </c>
      <c r="G10" s="1" t="s">
        <v>23</v>
      </c>
      <c r="H10" s="1">
        <v>8.8607594999999997E-2</v>
      </c>
      <c r="I10" s="1">
        <v>0.18987341799999999</v>
      </c>
      <c r="J10" s="1">
        <v>0.23734177200000001</v>
      </c>
      <c r="K10" s="1">
        <v>9.1772151999999996E-2</v>
      </c>
      <c r="L10" s="1">
        <v>0.392405063</v>
      </c>
      <c r="M10" s="1">
        <v>2</v>
      </c>
      <c r="N10" s="1" t="s">
        <v>25</v>
      </c>
    </row>
    <row r="11" spans="1:17" ht="15.75" customHeight="1">
      <c r="A11" s="1">
        <v>3.4511829000000001E-2</v>
      </c>
      <c r="B11" s="1">
        <v>1553</v>
      </c>
      <c r="C11" s="1">
        <v>35</v>
      </c>
      <c r="D11" s="1">
        <v>7755</v>
      </c>
      <c r="E11" s="1">
        <v>59076</v>
      </c>
      <c r="F11" s="1">
        <v>59076</v>
      </c>
      <c r="G11" s="1" t="s">
        <v>23</v>
      </c>
      <c r="H11" s="1">
        <v>9.4907406999999999E-2</v>
      </c>
      <c r="I11" s="1">
        <v>0.20370370400000001</v>
      </c>
      <c r="J11" s="1">
        <v>0.31018518499999997</v>
      </c>
      <c r="K11" s="1">
        <v>0.14120370400000001</v>
      </c>
      <c r="L11" s="1">
        <v>0.25</v>
      </c>
      <c r="M11" s="1">
        <v>3</v>
      </c>
      <c r="N11" s="1" t="s">
        <v>25</v>
      </c>
    </row>
    <row r="12" spans="1:17" ht="15.75" customHeight="1">
      <c r="A12" s="1">
        <v>3.9063517999999998E-2</v>
      </c>
      <c r="B12" s="1">
        <v>1553</v>
      </c>
      <c r="C12" s="1">
        <v>35</v>
      </c>
      <c r="D12" s="1">
        <v>7841</v>
      </c>
      <c r="E12" s="1">
        <v>62484</v>
      </c>
      <c r="F12" s="1">
        <v>62484</v>
      </c>
      <c r="G12" s="1" t="s">
        <v>23</v>
      </c>
      <c r="H12" s="1">
        <v>0.188505747</v>
      </c>
      <c r="I12" s="1">
        <v>0.287356322</v>
      </c>
      <c r="J12" s="1">
        <v>0.22068965500000001</v>
      </c>
      <c r="K12" s="1">
        <v>8.045977E-2</v>
      </c>
      <c r="L12" s="1">
        <v>0.222988506</v>
      </c>
      <c r="M12" s="1">
        <v>4</v>
      </c>
      <c r="N12" s="1" t="s">
        <v>25</v>
      </c>
    </row>
    <row r="13" spans="1:17" ht="15.75" customHeight="1">
      <c r="A13" s="1">
        <v>4.5016698000000001E-2</v>
      </c>
      <c r="B13" s="1">
        <v>1534</v>
      </c>
      <c r="C13" s="1">
        <v>34</v>
      </c>
      <c r="D13" s="1">
        <v>6811</v>
      </c>
      <c r="E13" s="1">
        <v>64700</v>
      </c>
      <c r="F13" s="1">
        <v>64700</v>
      </c>
      <c r="G13" s="1" t="s">
        <v>23</v>
      </c>
      <c r="H13" s="1">
        <v>0.143564356</v>
      </c>
      <c r="I13" s="1">
        <v>0.24257425699999999</v>
      </c>
      <c r="J13" s="1">
        <v>0.30445544600000002</v>
      </c>
      <c r="K13" s="1">
        <v>8.1683168E-2</v>
      </c>
      <c r="L13" s="1">
        <v>0.22772277199999999</v>
      </c>
      <c r="M13" s="1">
        <v>5</v>
      </c>
      <c r="N13" s="1" t="s">
        <v>25</v>
      </c>
    </row>
    <row r="14" spans="1:17" ht="15.75" customHeight="1">
      <c r="A14" s="1">
        <v>7.1529293999999993E-2</v>
      </c>
      <c r="B14" s="1">
        <v>1526</v>
      </c>
      <c r="C14" s="1">
        <v>34</v>
      </c>
      <c r="D14" s="1">
        <v>8960</v>
      </c>
      <c r="E14" s="1">
        <v>65997</v>
      </c>
      <c r="F14" s="1">
        <v>65997</v>
      </c>
      <c r="G14" s="1" t="s">
        <v>23</v>
      </c>
      <c r="H14" s="1">
        <v>8.2938389000000001E-2</v>
      </c>
      <c r="I14" s="1">
        <v>0.11492891</v>
      </c>
      <c r="J14" s="1">
        <v>0.17890995300000001</v>
      </c>
      <c r="K14" s="1">
        <v>0.14218009500000001</v>
      </c>
      <c r="L14" s="1">
        <v>0.48104265400000001</v>
      </c>
      <c r="M14" s="1">
        <v>6</v>
      </c>
      <c r="N14" s="1" t="s">
        <v>25</v>
      </c>
    </row>
    <row r="15" spans="1:17" ht="15.75" customHeight="1">
      <c r="A15" s="1">
        <v>7.5604993999999995E-2</v>
      </c>
      <c r="B15" s="1">
        <v>1553</v>
      </c>
      <c r="C15" s="1">
        <v>35</v>
      </c>
      <c r="D15" s="1">
        <v>5617</v>
      </c>
      <c r="E15" s="1">
        <v>63340</v>
      </c>
      <c r="F15" s="1">
        <v>63340</v>
      </c>
      <c r="G15" s="1" t="s">
        <v>23</v>
      </c>
      <c r="H15" s="1">
        <v>0.123314066</v>
      </c>
      <c r="I15" s="1">
        <v>0.14450867100000001</v>
      </c>
      <c r="J15" s="1">
        <v>0.20038535599999999</v>
      </c>
      <c r="K15" s="1">
        <v>0.14643545299999999</v>
      </c>
      <c r="L15" s="1">
        <v>0.38535645499999999</v>
      </c>
      <c r="M15" s="1">
        <v>6</v>
      </c>
      <c r="N15" s="1" t="s">
        <v>25</v>
      </c>
    </row>
    <row r="16" spans="1:17" ht="15.75" customHeight="1">
      <c r="A16" s="1">
        <v>6.7831338000000005E-2</v>
      </c>
      <c r="B16" s="1">
        <v>1539</v>
      </c>
      <c r="C16" s="1">
        <v>34</v>
      </c>
      <c r="D16" s="1">
        <v>6417</v>
      </c>
      <c r="E16" s="1">
        <v>65805</v>
      </c>
      <c r="F16" s="1">
        <v>65805</v>
      </c>
      <c r="G16" s="1" t="s">
        <v>23</v>
      </c>
      <c r="H16" s="1">
        <v>9.1588785000000006E-2</v>
      </c>
      <c r="I16" s="1">
        <v>7.8504672999999997E-2</v>
      </c>
      <c r="J16" s="1">
        <v>0.142056075</v>
      </c>
      <c r="K16" s="1">
        <v>0.112149533</v>
      </c>
      <c r="L16" s="1">
        <v>0.57570093499999997</v>
      </c>
      <c r="M16" s="1">
        <v>6</v>
      </c>
      <c r="N16" s="1" t="s">
        <v>25</v>
      </c>
    </row>
    <row r="17" spans="1:14" ht="15.75" customHeight="1">
      <c r="A17" s="1">
        <v>5.8673168999999997E-2</v>
      </c>
      <c r="B17" s="1">
        <v>1545</v>
      </c>
      <c r="C17" s="1">
        <v>35</v>
      </c>
      <c r="D17" s="1">
        <v>10768</v>
      </c>
      <c r="E17" s="1">
        <v>66104</v>
      </c>
      <c r="F17" s="1">
        <v>66104</v>
      </c>
      <c r="G17" s="1" t="s">
        <v>23</v>
      </c>
      <c r="H17" s="1">
        <v>0.15215110200000001</v>
      </c>
      <c r="I17" s="1">
        <v>0.15110178399999999</v>
      </c>
      <c r="J17" s="1">
        <v>0.14795383000000001</v>
      </c>
      <c r="K17" s="1">
        <v>0.136411333</v>
      </c>
      <c r="L17" s="1">
        <v>0.412381952</v>
      </c>
      <c r="M17" s="1">
        <v>10</v>
      </c>
      <c r="N17" s="1" t="s">
        <v>25</v>
      </c>
    </row>
    <row r="18" spans="1:14" ht="15.75" customHeight="1">
      <c r="A18" s="1">
        <v>4.7863114999999998E-2</v>
      </c>
      <c r="B18" s="1">
        <v>1554</v>
      </c>
      <c r="C18" s="1">
        <v>35</v>
      </c>
      <c r="D18" s="1">
        <v>7540</v>
      </c>
      <c r="E18" s="1">
        <v>66939</v>
      </c>
      <c r="F18" s="1">
        <v>66939</v>
      </c>
      <c r="G18" s="1" t="s">
        <v>23</v>
      </c>
      <c r="H18" s="1">
        <v>0.15695067300000001</v>
      </c>
      <c r="I18" s="1">
        <v>0.19955157000000001</v>
      </c>
      <c r="J18" s="1">
        <v>0.21973094200000001</v>
      </c>
      <c r="K18" s="1">
        <v>9.8654708999999993E-2</v>
      </c>
      <c r="L18" s="1">
        <v>0.32511210800000001</v>
      </c>
      <c r="M18" s="1">
        <v>11</v>
      </c>
      <c r="N18" s="1" t="s">
        <v>25</v>
      </c>
    </row>
    <row r="19" spans="1:14" ht="15.75" customHeight="1">
      <c r="A19" s="1">
        <v>8.1633275000000005E-2</v>
      </c>
      <c r="B19" s="1">
        <v>1520</v>
      </c>
      <c r="C19" s="1">
        <v>34</v>
      </c>
      <c r="D19" s="1">
        <v>15935</v>
      </c>
      <c r="E19" s="1">
        <v>66014</v>
      </c>
      <c r="F19" s="1">
        <v>66014</v>
      </c>
      <c r="G19" s="1" t="s">
        <v>23</v>
      </c>
      <c r="H19" s="1">
        <v>9.6179183000000001E-2</v>
      </c>
      <c r="I19" s="1">
        <v>0.12121212100000001</v>
      </c>
      <c r="J19" s="1">
        <v>0.123188406</v>
      </c>
      <c r="K19" s="1">
        <v>0.115942029</v>
      </c>
      <c r="L19" s="1">
        <v>0.54347826099999996</v>
      </c>
      <c r="M19" s="1">
        <v>11</v>
      </c>
      <c r="N19" s="1" t="s">
        <v>25</v>
      </c>
    </row>
    <row r="20" spans="1:14" ht="15.75" customHeight="1">
      <c r="A20" s="1">
        <v>4.2334194999999998E-2</v>
      </c>
      <c r="B20" s="1">
        <v>1547</v>
      </c>
      <c r="C20" s="1">
        <v>35</v>
      </c>
      <c r="D20" s="1">
        <v>8899</v>
      </c>
      <c r="E20" s="1">
        <v>69045</v>
      </c>
      <c r="F20" s="1">
        <v>69045</v>
      </c>
      <c r="G20" s="1" t="s">
        <v>23</v>
      </c>
      <c r="H20" s="1">
        <v>0.17288801600000001</v>
      </c>
      <c r="I20" s="1">
        <v>0.18271119799999999</v>
      </c>
      <c r="J20" s="1">
        <v>0.192534381</v>
      </c>
      <c r="K20" s="1">
        <v>0.104125737</v>
      </c>
      <c r="L20" s="1">
        <v>0.34774066799999998</v>
      </c>
      <c r="M20" s="1">
        <v>13</v>
      </c>
      <c r="N20" s="1" t="s">
        <v>25</v>
      </c>
    </row>
    <row r="21" spans="1:14" ht="15.75" customHeight="1">
      <c r="A21" s="1">
        <v>5.2342349000000003E-2</v>
      </c>
      <c r="B21" s="1">
        <v>1546</v>
      </c>
      <c r="C21" s="1">
        <v>35</v>
      </c>
      <c r="D21" s="1">
        <v>7273</v>
      </c>
      <c r="E21" s="1">
        <v>68230</v>
      </c>
      <c r="F21" s="1">
        <v>68230</v>
      </c>
      <c r="G21" s="1" t="s">
        <v>23</v>
      </c>
      <c r="H21" s="1">
        <v>8.8176352999999999E-2</v>
      </c>
      <c r="I21" s="1">
        <v>9.4188377000000004E-2</v>
      </c>
      <c r="J21" s="1">
        <v>0.184368737</v>
      </c>
      <c r="K21" s="1">
        <v>0.148296593</v>
      </c>
      <c r="L21" s="1">
        <v>0.48496993999999999</v>
      </c>
      <c r="M21" s="1">
        <v>13</v>
      </c>
      <c r="N21" s="1" t="s">
        <v>25</v>
      </c>
    </row>
    <row r="22" spans="1:14" ht="15.75" customHeight="1">
      <c r="A22" s="1">
        <v>6.2307132000000001E-2</v>
      </c>
      <c r="B22" s="1">
        <v>1533</v>
      </c>
      <c r="C22" s="1">
        <v>34</v>
      </c>
      <c r="D22" s="1">
        <v>4367</v>
      </c>
      <c r="E22" s="1">
        <v>65739</v>
      </c>
      <c r="F22" s="1">
        <v>65739</v>
      </c>
      <c r="G22" s="1" t="s">
        <v>23</v>
      </c>
      <c r="H22" s="1">
        <v>0.108695652</v>
      </c>
      <c r="I22" s="1">
        <v>0.12732919300000001</v>
      </c>
      <c r="J22" s="1">
        <v>0.161490683</v>
      </c>
      <c r="K22" s="1">
        <v>9.6273291999999996E-2</v>
      </c>
      <c r="L22" s="1">
        <v>0.50621117999999998</v>
      </c>
      <c r="M22" s="1">
        <v>15</v>
      </c>
      <c r="N22" s="1" t="s">
        <v>25</v>
      </c>
    </row>
    <row r="23" spans="1:14" ht="15.75" customHeight="1">
      <c r="A23" s="1">
        <v>0.123796424</v>
      </c>
      <c r="B23" s="1">
        <v>1510</v>
      </c>
      <c r="C23" s="1">
        <v>34</v>
      </c>
      <c r="D23" s="1">
        <v>8923</v>
      </c>
      <c r="E23" s="1">
        <v>62693</v>
      </c>
      <c r="F23" s="1">
        <v>62693</v>
      </c>
      <c r="G23" s="1" t="s">
        <v>23</v>
      </c>
      <c r="H23" s="1">
        <v>0.19196428600000001</v>
      </c>
      <c r="I23" s="1">
        <v>0.113095238</v>
      </c>
      <c r="J23" s="1">
        <v>0.133928571</v>
      </c>
      <c r="K23" s="1">
        <v>0.108630952</v>
      </c>
      <c r="L23" s="1">
        <v>0.452380952</v>
      </c>
      <c r="M23" s="1">
        <v>18</v>
      </c>
      <c r="N23" s="1" t="s">
        <v>25</v>
      </c>
    </row>
    <row r="24" spans="1:14" ht="15.75" customHeight="1">
      <c r="A24" s="1">
        <v>6.2763445000000001E-2</v>
      </c>
      <c r="B24" s="1">
        <v>1550</v>
      </c>
      <c r="C24" s="1">
        <v>35</v>
      </c>
      <c r="D24" s="1">
        <v>7143</v>
      </c>
      <c r="E24" s="1">
        <v>63946</v>
      </c>
      <c r="F24" s="1">
        <v>63946</v>
      </c>
      <c r="G24" s="1" t="s">
        <v>23</v>
      </c>
      <c r="H24" s="1">
        <v>0.12864494000000001</v>
      </c>
      <c r="I24" s="1">
        <v>0.214408233</v>
      </c>
      <c r="J24" s="1">
        <v>0.19725557499999999</v>
      </c>
      <c r="K24" s="1">
        <v>0.12864494000000001</v>
      </c>
      <c r="L24" s="1">
        <v>0.33104631200000001</v>
      </c>
      <c r="M24" s="1">
        <v>18</v>
      </c>
      <c r="N24" s="1" t="s">
        <v>25</v>
      </c>
    </row>
    <row r="25" spans="1:14" ht="15.75" customHeight="1">
      <c r="A25" s="1">
        <v>7.8785537000000003E-2</v>
      </c>
      <c r="B25" s="1">
        <v>1553</v>
      </c>
      <c r="C25" s="1">
        <v>35</v>
      </c>
      <c r="D25" s="1">
        <v>4562</v>
      </c>
      <c r="E25" s="1">
        <v>58128</v>
      </c>
      <c r="F25" s="1">
        <v>58128</v>
      </c>
      <c r="G25" s="1" t="s">
        <v>23</v>
      </c>
      <c r="H25" s="1">
        <v>0.31954887199999998</v>
      </c>
      <c r="I25" s="1">
        <v>0.18796992500000001</v>
      </c>
      <c r="J25" s="1">
        <v>0.19172932300000001</v>
      </c>
      <c r="K25" s="1">
        <v>5.6390977000000002E-2</v>
      </c>
      <c r="L25" s="1">
        <v>0.24436090199999999</v>
      </c>
      <c r="M25" s="1">
        <v>18</v>
      </c>
      <c r="N25" s="1" t="s">
        <v>25</v>
      </c>
    </row>
    <row r="26" spans="1:14" ht="15.75" customHeight="1">
      <c r="A26" s="1">
        <v>0.11957196</v>
      </c>
      <c r="B26" s="1">
        <v>1530</v>
      </c>
      <c r="C26" s="1">
        <v>34</v>
      </c>
      <c r="D26" s="1">
        <v>7897</v>
      </c>
      <c r="E26" s="1">
        <v>62982</v>
      </c>
      <c r="F26" s="1">
        <v>62982</v>
      </c>
      <c r="G26" s="1" t="s">
        <v>23</v>
      </c>
      <c r="H26" s="1">
        <v>0.102339181</v>
      </c>
      <c r="I26" s="1">
        <v>0.17105263200000001</v>
      </c>
      <c r="J26" s="1">
        <v>0.15789473700000001</v>
      </c>
      <c r="K26" s="1">
        <v>0.14181286500000001</v>
      </c>
      <c r="L26" s="1">
        <v>0.426900585</v>
      </c>
      <c r="M26" s="1">
        <v>21</v>
      </c>
      <c r="N26" s="1" t="s">
        <v>25</v>
      </c>
    </row>
    <row r="27" spans="1:14" ht="15.75" customHeight="1">
      <c r="A27" s="1">
        <v>0.114011926</v>
      </c>
      <c r="B27" s="1">
        <v>1545</v>
      </c>
      <c r="C27" s="1">
        <v>35</v>
      </c>
      <c r="D27" s="1">
        <v>7187</v>
      </c>
      <c r="E27" s="1">
        <v>63829</v>
      </c>
      <c r="F27" s="1">
        <v>63829</v>
      </c>
      <c r="G27" s="1" t="s">
        <v>23</v>
      </c>
      <c r="H27" s="1">
        <v>0.18592297499999999</v>
      </c>
      <c r="I27" s="1">
        <v>0.130146082</v>
      </c>
      <c r="J27" s="1">
        <v>0.11952191199999999</v>
      </c>
      <c r="K27" s="1">
        <v>0.13413014600000001</v>
      </c>
      <c r="L27" s="1">
        <v>0.43027888399999997</v>
      </c>
      <c r="M27" s="1">
        <v>21</v>
      </c>
      <c r="N27" s="1" t="s">
        <v>25</v>
      </c>
    </row>
    <row r="28" spans="1:14" ht="15.75" customHeight="1">
      <c r="A28" s="1">
        <v>0.13082205199999999</v>
      </c>
      <c r="B28" s="1">
        <v>1494</v>
      </c>
      <c r="C28" s="1">
        <v>33</v>
      </c>
      <c r="D28" s="1">
        <v>7462</v>
      </c>
      <c r="E28" s="1">
        <v>65081</v>
      </c>
      <c r="F28" s="1">
        <v>65081</v>
      </c>
      <c r="G28" s="1" t="s">
        <v>23</v>
      </c>
      <c r="H28" s="1">
        <v>6.3829786999999999E-2</v>
      </c>
      <c r="I28" s="1">
        <v>9.9290779999999995E-2</v>
      </c>
      <c r="J28" s="1">
        <v>0.13711583899999999</v>
      </c>
      <c r="K28" s="1">
        <v>0.11820331000000001</v>
      </c>
      <c r="L28" s="1">
        <v>0.58156028400000004</v>
      </c>
      <c r="M28" s="1">
        <v>24</v>
      </c>
      <c r="N28" s="1" t="s">
        <v>25</v>
      </c>
    </row>
    <row r="29" spans="1:14" ht="15.75" customHeight="1">
      <c r="A29" s="1">
        <v>0.13467131500000001</v>
      </c>
      <c r="B29" s="1">
        <v>1507</v>
      </c>
      <c r="C29" s="1">
        <v>33</v>
      </c>
      <c r="D29" s="1">
        <v>7275</v>
      </c>
      <c r="E29" s="1">
        <v>60774</v>
      </c>
      <c r="F29" s="1">
        <v>60774</v>
      </c>
      <c r="G29" s="1" t="s">
        <v>23</v>
      </c>
      <c r="H29" s="1">
        <v>0.23469387799999999</v>
      </c>
      <c r="I29" s="1">
        <v>0.18877551000000001</v>
      </c>
      <c r="J29" s="1">
        <v>0.168367347</v>
      </c>
      <c r="K29" s="1">
        <v>0.10714285699999999</v>
      </c>
      <c r="L29" s="1">
        <v>0.30102040800000002</v>
      </c>
      <c r="M29" s="1">
        <v>24</v>
      </c>
      <c r="N29" s="1" t="s">
        <v>25</v>
      </c>
    </row>
    <row r="30" spans="1:14" ht="15.75" customHeight="1">
      <c r="A30" s="1">
        <v>0.10016335</v>
      </c>
      <c r="B30" s="1">
        <v>1501</v>
      </c>
      <c r="C30" s="1">
        <v>33</v>
      </c>
      <c r="D30" s="1">
        <v>20817</v>
      </c>
      <c r="E30" s="1">
        <v>68237</v>
      </c>
      <c r="F30" s="1">
        <v>68237</v>
      </c>
      <c r="G30" s="1" t="s">
        <v>23</v>
      </c>
      <c r="H30" s="1">
        <v>0.223562811</v>
      </c>
      <c r="I30" s="1">
        <v>0.13058907</v>
      </c>
      <c r="J30" s="1">
        <v>0.15330021299999999</v>
      </c>
      <c r="K30" s="1">
        <v>0.15046132000000001</v>
      </c>
      <c r="L30" s="1">
        <v>0.34208658600000003</v>
      </c>
      <c r="M30" s="1">
        <v>27</v>
      </c>
      <c r="N30" s="1" t="s">
        <v>25</v>
      </c>
    </row>
    <row r="31" spans="1:14" ht="15.75" customHeight="1">
      <c r="A31" s="1">
        <v>9.4146753999999999E-2</v>
      </c>
      <c r="B31" s="1">
        <v>1527</v>
      </c>
      <c r="C31" s="1">
        <v>34</v>
      </c>
      <c r="D31" s="1">
        <v>29430</v>
      </c>
      <c r="E31" s="1">
        <v>60438</v>
      </c>
      <c r="F31" s="1">
        <v>60438</v>
      </c>
      <c r="G31" s="1" t="s">
        <v>23</v>
      </c>
      <c r="H31" s="1">
        <v>0.21033057899999999</v>
      </c>
      <c r="I31" s="1">
        <v>0.150826446</v>
      </c>
      <c r="J31" s="1">
        <v>0.15289256200000001</v>
      </c>
      <c r="K31" s="1">
        <v>0.10991735499999999</v>
      </c>
      <c r="L31" s="1">
        <v>0.37603305799999998</v>
      </c>
      <c r="M31" s="1">
        <v>30</v>
      </c>
      <c r="N31" s="1" t="s">
        <v>25</v>
      </c>
    </row>
    <row r="32" spans="1:14" ht="15.75" customHeight="1">
      <c r="A32" s="1">
        <v>0.156505587</v>
      </c>
      <c r="B32" s="1">
        <v>1501</v>
      </c>
      <c r="C32" s="1">
        <v>34</v>
      </c>
      <c r="D32" s="1">
        <v>9865</v>
      </c>
      <c r="E32" s="1">
        <v>67680</v>
      </c>
      <c r="F32" s="1">
        <v>67680</v>
      </c>
      <c r="G32" s="1" t="s">
        <v>23</v>
      </c>
      <c r="H32" s="1">
        <v>3.8845726999999997E-2</v>
      </c>
      <c r="I32" s="1">
        <v>8.4350721000000004E-2</v>
      </c>
      <c r="J32" s="1">
        <v>0.13762486099999999</v>
      </c>
      <c r="K32" s="1">
        <v>0.13096559399999999</v>
      </c>
      <c r="L32" s="1">
        <v>0.60821309700000004</v>
      </c>
      <c r="M32" s="1">
        <v>37</v>
      </c>
      <c r="N32" s="1" t="s">
        <v>25</v>
      </c>
    </row>
    <row r="33" spans="1:14" ht="15.75" customHeight="1">
      <c r="A33" s="1">
        <v>0.101285181</v>
      </c>
      <c r="B33" s="1">
        <v>1513</v>
      </c>
      <c r="C33" s="1">
        <v>34</v>
      </c>
      <c r="D33" s="1">
        <v>6804</v>
      </c>
      <c r="E33" s="1">
        <v>67844</v>
      </c>
      <c r="F33" s="1">
        <v>67844</v>
      </c>
      <c r="G33" s="1" t="s">
        <v>23</v>
      </c>
      <c r="H33" s="1">
        <v>8.8607594999999997E-2</v>
      </c>
      <c r="I33" s="1">
        <v>9.5840867999999996E-2</v>
      </c>
      <c r="J33" s="1">
        <v>0.164556962</v>
      </c>
      <c r="K33" s="1">
        <v>0.146473779</v>
      </c>
      <c r="L33" s="1">
        <v>0.50452079599999999</v>
      </c>
      <c r="M33" s="1">
        <v>37</v>
      </c>
      <c r="N33" s="1" t="s">
        <v>25</v>
      </c>
    </row>
    <row r="34" spans="1:14" ht="15.75" customHeight="1">
      <c r="A34" s="1">
        <v>0.108491211</v>
      </c>
      <c r="B34" s="1">
        <v>1473</v>
      </c>
      <c r="C34" s="1">
        <v>33</v>
      </c>
      <c r="D34" s="1">
        <v>17850</v>
      </c>
      <c r="E34" s="1">
        <v>65168</v>
      </c>
      <c r="F34" s="1">
        <v>65168</v>
      </c>
      <c r="G34" s="1" t="s">
        <v>23</v>
      </c>
      <c r="H34" s="1">
        <v>0.236879433</v>
      </c>
      <c r="I34" s="1">
        <v>0.13829787199999999</v>
      </c>
      <c r="J34" s="1">
        <v>0.142553191</v>
      </c>
      <c r="K34" s="1">
        <v>0.104964539</v>
      </c>
      <c r="L34" s="1">
        <v>0.37730496499999999</v>
      </c>
      <c r="M34" s="1">
        <v>41</v>
      </c>
      <c r="N34" s="1" t="s">
        <v>25</v>
      </c>
    </row>
    <row r="35" spans="1:14" ht="15.75" customHeight="1">
      <c r="A35" s="1">
        <v>0.35853320999999999</v>
      </c>
      <c r="B35" s="1">
        <v>1480</v>
      </c>
      <c r="C35" s="1">
        <v>33</v>
      </c>
      <c r="D35" s="1">
        <v>6488</v>
      </c>
      <c r="E35" s="1">
        <v>64348</v>
      </c>
      <c r="F35" s="1">
        <v>64348</v>
      </c>
      <c r="G35" s="1" t="s">
        <v>23</v>
      </c>
      <c r="H35" s="1">
        <v>0.19740634000000001</v>
      </c>
      <c r="I35" s="1">
        <v>0.14985590800000001</v>
      </c>
      <c r="J35" s="1">
        <v>0.14697406299999999</v>
      </c>
      <c r="K35" s="1">
        <v>0.13544668600000001</v>
      </c>
      <c r="L35" s="1">
        <v>0.37031700299999998</v>
      </c>
      <c r="M35" s="1">
        <v>44</v>
      </c>
      <c r="N35" s="1" t="s">
        <v>25</v>
      </c>
    </row>
    <row r="36" spans="1:14" ht="15.75" customHeight="1">
      <c r="A36" s="1">
        <v>0.215572973</v>
      </c>
      <c r="B36" s="1">
        <v>1469</v>
      </c>
      <c r="C36" s="1">
        <v>33</v>
      </c>
      <c r="D36" s="1">
        <v>5471</v>
      </c>
      <c r="E36" s="1">
        <v>64758</v>
      </c>
      <c r="F36" s="1">
        <v>64758</v>
      </c>
      <c r="G36" s="1" t="s">
        <v>23</v>
      </c>
      <c r="H36" s="1">
        <v>0.21476510100000001</v>
      </c>
      <c r="I36" s="1">
        <v>0.154362416</v>
      </c>
      <c r="J36" s="1">
        <v>0.140939597</v>
      </c>
      <c r="K36" s="1">
        <v>9.0604027000000004E-2</v>
      </c>
      <c r="L36" s="1">
        <v>0.39932885899999998</v>
      </c>
      <c r="M36" s="1">
        <v>46</v>
      </c>
      <c r="N36" s="1" t="s">
        <v>25</v>
      </c>
    </row>
    <row r="37" spans="1:14" ht="15.75" customHeight="1">
      <c r="A37" s="1">
        <v>0.29264186800000003</v>
      </c>
      <c r="B37" s="1">
        <v>1432</v>
      </c>
      <c r="C37" s="1">
        <v>32</v>
      </c>
      <c r="D37" s="1">
        <v>5803</v>
      </c>
      <c r="E37" s="1">
        <v>62180</v>
      </c>
      <c r="F37" s="1">
        <v>62180</v>
      </c>
      <c r="G37" s="1" t="s">
        <v>23</v>
      </c>
      <c r="H37" s="1">
        <v>0.16011644799999999</v>
      </c>
      <c r="I37" s="1">
        <v>0.103347889</v>
      </c>
      <c r="J37" s="1">
        <v>0.147016012</v>
      </c>
      <c r="K37" s="1">
        <v>0.16593886499999999</v>
      </c>
      <c r="L37" s="1">
        <v>0.42358078599999999</v>
      </c>
      <c r="M37" s="1">
        <v>46</v>
      </c>
      <c r="N37" s="1" t="s">
        <v>25</v>
      </c>
    </row>
    <row r="38" spans="1:14" ht="15.75" customHeight="1">
      <c r="A38" s="1">
        <v>0.28675735899999999</v>
      </c>
      <c r="B38" s="1">
        <v>1501</v>
      </c>
      <c r="C38" s="1">
        <v>34</v>
      </c>
      <c r="D38" s="1">
        <v>6108</v>
      </c>
      <c r="E38" s="1">
        <v>64671</v>
      </c>
      <c r="F38" s="1">
        <v>64671</v>
      </c>
      <c r="G38" s="1" t="s">
        <v>23</v>
      </c>
      <c r="H38" s="1">
        <v>0.121151936</v>
      </c>
      <c r="I38" s="1">
        <v>8.2423039000000003E-2</v>
      </c>
      <c r="J38" s="1">
        <v>8.9374379000000004E-2</v>
      </c>
      <c r="K38" s="1">
        <v>9.1360476999999995E-2</v>
      </c>
      <c r="L38" s="1">
        <v>0.61569016899999995</v>
      </c>
      <c r="M38" s="1">
        <v>51</v>
      </c>
      <c r="N38" s="1" t="s">
        <v>48</v>
      </c>
    </row>
    <row r="39" spans="1:14" ht="15.75" customHeight="1">
      <c r="A39" s="1">
        <v>7.2929847000000006E-2</v>
      </c>
      <c r="B39" s="1">
        <v>1505</v>
      </c>
      <c r="C39" s="1">
        <v>34</v>
      </c>
      <c r="D39" s="1">
        <v>15719</v>
      </c>
      <c r="E39" s="1">
        <v>63141</v>
      </c>
      <c r="F39" s="1">
        <v>63141</v>
      </c>
      <c r="G39" s="1" t="s">
        <v>23</v>
      </c>
      <c r="H39" s="1">
        <v>0.131049888</v>
      </c>
      <c r="I39" s="1">
        <v>8.4884586999999997E-2</v>
      </c>
      <c r="J39" s="1">
        <v>0.12956068500000001</v>
      </c>
      <c r="K39" s="1">
        <v>0.139985108</v>
      </c>
      <c r="L39" s="1">
        <v>0.51451973200000001</v>
      </c>
      <c r="M39" s="1">
        <v>54</v>
      </c>
      <c r="N39" s="1" t="s">
        <v>48</v>
      </c>
    </row>
    <row r="40" spans="1:14" ht="15.75" customHeight="1">
      <c r="A40" s="1">
        <v>0.25122151599999998</v>
      </c>
      <c r="B40" s="1">
        <v>1466</v>
      </c>
      <c r="C40" s="1">
        <v>33</v>
      </c>
      <c r="D40" s="1">
        <v>7005</v>
      </c>
      <c r="E40" s="1">
        <v>64701</v>
      </c>
      <c r="F40" s="1">
        <v>64701</v>
      </c>
      <c r="G40" s="1" t="s">
        <v>23</v>
      </c>
      <c r="H40" s="1">
        <v>0.13774104700000001</v>
      </c>
      <c r="I40" s="1">
        <v>8.5399449000000002E-2</v>
      </c>
      <c r="J40" s="1">
        <v>0.107438017</v>
      </c>
      <c r="K40" s="1">
        <v>0.132231405</v>
      </c>
      <c r="L40" s="1">
        <v>0.53719008300000004</v>
      </c>
      <c r="M40" s="1">
        <v>58</v>
      </c>
      <c r="N40" s="1" t="s">
        <v>48</v>
      </c>
    </row>
    <row r="41" spans="1:14" ht="15.75" customHeight="1">
      <c r="A41" s="1">
        <v>0.438412142</v>
      </c>
      <c r="B41" s="1">
        <v>1417</v>
      </c>
      <c r="C41" s="1">
        <v>31</v>
      </c>
      <c r="D41" s="1">
        <v>6235</v>
      </c>
      <c r="E41" s="1">
        <v>59241</v>
      </c>
      <c r="F41" s="1">
        <v>59241</v>
      </c>
      <c r="G41" s="1" t="s">
        <v>23</v>
      </c>
      <c r="H41" s="1">
        <v>0.155677656</v>
      </c>
      <c r="I41" s="1">
        <v>9.7069596999999994E-2</v>
      </c>
      <c r="J41" s="1">
        <v>0.115384615</v>
      </c>
      <c r="K41" s="1">
        <v>8.6080586000000001E-2</v>
      </c>
      <c r="L41" s="1">
        <v>0.54578754600000001</v>
      </c>
      <c r="M41" s="1">
        <v>63</v>
      </c>
      <c r="N41" s="1" t="s">
        <v>48</v>
      </c>
    </row>
    <row r="42" spans="1:14" ht="15.75" customHeight="1">
      <c r="A42" s="1">
        <v>0.43544696199999999</v>
      </c>
      <c r="B42" s="1">
        <v>1433</v>
      </c>
      <c r="C42" s="1">
        <v>32</v>
      </c>
      <c r="D42" s="1">
        <v>10848</v>
      </c>
      <c r="E42" s="1">
        <v>64990</v>
      </c>
      <c r="F42" s="1">
        <v>64990</v>
      </c>
      <c r="G42" s="1" t="s">
        <v>23</v>
      </c>
      <c r="H42" s="1">
        <v>0.12908124500000001</v>
      </c>
      <c r="I42" s="1">
        <v>0.111617312</v>
      </c>
      <c r="J42" s="1">
        <v>0.15565679599999999</v>
      </c>
      <c r="K42" s="1">
        <v>0.16249050900000001</v>
      </c>
      <c r="L42" s="1">
        <v>0.44115413799999997</v>
      </c>
      <c r="M42" s="1">
        <v>63</v>
      </c>
      <c r="N42" s="1" t="s">
        <v>48</v>
      </c>
    </row>
    <row r="43" spans="1:14" ht="15.75" customHeight="1">
      <c r="A43" s="1">
        <v>0.18514683300000001</v>
      </c>
      <c r="B43" s="1">
        <v>1416</v>
      </c>
      <c r="C43" s="1">
        <v>32</v>
      </c>
      <c r="D43" s="1">
        <v>12570</v>
      </c>
      <c r="E43" s="1">
        <v>59926</v>
      </c>
      <c r="F43" s="1">
        <v>59926</v>
      </c>
      <c r="G43" s="1" t="s">
        <v>23</v>
      </c>
      <c r="H43" s="1">
        <v>5.3392659000000002E-2</v>
      </c>
      <c r="I43" s="1">
        <v>7.3414905000000003E-2</v>
      </c>
      <c r="J43" s="1">
        <v>0.15461623999999999</v>
      </c>
      <c r="K43" s="1">
        <v>0.171301446</v>
      </c>
      <c r="L43" s="1">
        <v>0.54727475000000003</v>
      </c>
      <c r="M43" s="1">
        <v>63</v>
      </c>
      <c r="N43" s="1" t="s">
        <v>48</v>
      </c>
    </row>
    <row r="44" spans="1:14" ht="15.75" customHeight="1">
      <c r="A44" s="1">
        <v>0.14594072199999999</v>
      </c>
      <c r="B44" s="1">
        <v>1443</v>
      </c>
      <c r="C44" s="1">
        <v>32</v>
      </c>
      <c r="D44" s="1">
        <v>7759</v>
      </c>
      <c r="E44" s="1">
        <v>65538</v>
      </c>
      <c r="F44" s="1">
        <v>65538</v>
      </c>
      <c r="G44" s="1" t="s">
        <v>23</v>
      </c>
      <c r="H44" s="1">
        <v>9.1954022999999996E-2</v>
      </c>
      <c r="I44" s="1">
        <v>6.8965517000000004E-2</v>
      </c>
      <c r="J44" s="1">
        <v>0.17049808399999999</v>
      </c>
      <c r="K44" s="1">
        <v>0.14176245200000001</v>
      </c>
      <c r="L44" s="1">
        <v>0.52681992300000002</v>
      </c>
      <c r="M44" s="1">
        <v>63</v>
      </c>
      <c r="N44" s="1" t="s">
        <v>48</v>
      </c>
    </row>
    <row r="45" spans="1:14" ht="15.75" customHeight="1">
      <c r="A45" s="1">
        <v>0.35312887799999998</v>
      </c>
      <c r="B45" s="1">
        <v>1473</v>
      </c>
      <c r="C45" s="1">
        <v>33</v>
      </c>
      <c r="D45" s="1">
        <v>3663</v>
      </c>
      <c r="E45" s="1">
        <v>64946</v>
      </c>
      <c r="F45" s="1">
        <v>64946</v>
      </c>
      <c r="G45" s="1" t="s">
        <v>23</v>
      </c>
      <c r="H45" s="1">
        <v>0.14795918399999999</v>
      </c>
      <c r="I45" s="1">
        <v>0.125</v>
      </c>
      <c r="J45" s="1">
        <v>0.15051020400000001</v>
      </c>
      <c r="K45" s="1">
        <v>0.12755101999999999</v>
      </c>
      <c r="L45" s="1">
        <v>0.44897959199999998</v>
      </c>
      <c r="M45" s="1">
        <v>63</v>
      </c>
      <c r="N45" s="1" t="s">
        <v>48</v>
      </c>
    </row>
    <row r="46" spans="1:14" ht="15.75" customHeight="1">
      <c r="A46" s="1">
        <v>0.58447460500000004</v>
      </c>
      <c r="B46" s="1">
        <v>1415</v>
      </c>
      <c r="C46" s="1">
        <v>32</v>
      </c>
      <c r="D46" s="1">
        <v>5909</v>
      </c>
      <c r="E46" s="1">
        <v>61884</v>
      </c>
      <c r="F46" s="1">
        <v>61884</v>
      </c>
      <c r="G46" s="1" t="s">
        <v>23</v>
      </c>
      <c r="H46" s="1">
        <v>0.14216867499999999</v>
      </c>
      <c r="I46" s="1">
        <v>0.109236948</v>
      </c>
      <c r="J46" s="1">
        <v>0.101204819</v>
      </c>
      <c r="K46" s="1">
        <v>0.12771084299999999</v>
      </c>
      <c r="L46" s="1">
        <v>0.51967871499999996</v>
      </c>
      <c r="M46" s="1">
        <v>70</v>
      </c>
      <c r="N46" s="1" t="s">
        <v>48</v>
      </c>
    </row>
    <row r="47" spans="1:14" ht="15.75" customHeight="1">
      <c r="A47" s="1">
        <v>0.41685475999999999</v>
      </c>
      <c r="B47" s="1">
        <v>1351</v>
      </c>
      <c r="C47" s="1">
        <v>30</v>
      </c>
      <c r="D47" s="1">
        <v>15245</v>
      </c>
      <c r="E47" s="1">
        <v>63061</v>
      </c>
      <c r="F47" s="1">
        <v>63061</v>
      </c>
      <c r="G47" s="1" t="s">
        <v>23</v>
      </c>
      <c r="H47" s="1">
        <v>0.15071031500000001</v>
      </c>
      <c r="I47" s="1">
        <v>8.5855466000000005E-2</v>
      </c>
      <c r="J47" s="1">
        <v>9.6973439999999994E-2</v>
      </c>
      <c r="K47" s="1">
        <v>0.100679432</v>
      </c>
      <c r="L47" s="1">
        <v>0.56578134700000005</v>
      </c>
      <c r="M47" s="1">
        <v>73</v>
      </c>
      <c r="N47" s="1" t="s">
        <v>48</v>
      </c>
    </row>
    <row r="48" spans="1:14" ht="15.75" customHeight="1">
      <c r="A48" s="1">
        <v>0.43443895599999999</v>
      </c>
      <c r="B48" s="1">
        <v>1447</v>
      </c>
      <c r="C48" s="1">
        <v>33</v>
      </c>
      <c r="D48" s="1">
        <v>4084</v>
      </c>
      <c r="E48" s="1">
        <v>60952</v>
      </c>
      <c r="F48" s="1">
        <v>60952</v>
      </c>
      <c r="G48" s="1" t="s">
        <v>23</v>
      </c>
      <c r="H48" s="1">
        <v>0.12420382200000001</v>
      </c>
      <c r="I48" s="1">
        <v>0.10031847100000001</v>
      </c>
      <c r="J48" s="1">
        <v>9.2356688000000006E-2</v>
      </c>
      <c r="K48" s="1">
        <v>0.14490445900000001</v>
      </c>
      <c r="L48" s="1">
        <v>0.53821656100000004</v>
      </c>
      <c r="M48" s="1">
        <v>76</v>
      </c>
      <c r="N48" s="1" t="s">
        <v>48</v>
      </c>
    </row>
    <row r="49" spans="1:14" ht="15.75" customHeight="1">
      <c r="A49" s="1">
        <v>0.49851489100000002</v>
      </c>
      <c r="B49" s="1">
        <v>1367</v>
      </c>
      <c r="C49" s="1">
        <v>30</v>
      </c>
      <c r="D49" s="1">
        <v>3629</v>
      </c>
      <c r="E49" s="1">
        <v>66742</v>
      </c>
      <c r="F49" s="1">
        <v>66742</v>
      </c>
      <c r="G49" s="1" t="s">
        <v>23</v>
      </c>
      <c r="H49" s="1">
        <v>0.171428571</v>
      </c>
      <c r="I49" s="1">
        <v>9.1836735000000003E-2</v>
      </c>
      <c r="J49" s="1">
        <v>0.13061224499999999</v>
      </c>
      <c r="K49" s="1">
        <v>0.157142857</v>
      </c>
      <c r="L49" s="1">
        <v>0.44897959199999998</v>
      </c>
      <c r="M49" s="1">
        <v>80</v>
      </c>
      <c r="N49" s="1" t="s">
        <v>48</v>
      </c>
    </row>
    <row r="50" spans="1:14" ht="15.75" customHeight="1">
      <c r="A50" s="1">
        <v>0.34892228600000003</v>
      </c>
      <c r="B50" s="1">
        <v>1205</v>
      </c>
      <c r="C50" s="1">
        <v>25</v>
      </c>
      <c r="D50" s="1">
        <v>9604</v>
      </c>
      <c r="E50" s="1">
        <v>33344</v>
      </c>
      <c r="F50" s="1">
        <v>33344</v>
      </c>
      <c r="G50" s="1" t="s">
        <v>23</v>
      </c>
      <c r="H50" s="1">
        <v>0.26829268299999998</v>
      </c>
      <c r="I50" s="1">
        <v>0.17452574500000001</v>
      </c>
      <c r="J50" s="1">
        <v>0.19024390199999999</v>
      </c>
      <c r="K50" s="1">
        <v>0.12520325199999999</v>
      </c>
      <c r="L50" s="1">
        <v>0.24173441700000001</v>
      </c>
      <c r="M50" s="1">
        <v>86</v>
      </c>
      <c r="N50" s="1" t="s">
        <v>48</v>
      </c>
    </row>
    <row r="51" spans="1:14" ht="15.75" customHeight="1">
      <c r="A51" s="1">
        <v>0.775320864</v>
      </c>
      <c r="B51" s="1">
        <v>1337</v>
      </c>
      <c r="C51" s="1">
        <v>30</v>
      </c>
      <c r="D51" s="1">
        <v>13509</v>
      </c>
      <c r="E51" s="1">
        <v>60663</v>
      </c>
      <c r="F51" s="1">
        <v>60663</v>
      </c>
      <c r="G51" s="1" t="s">
        <v>23</v>
      </c>
      <c r="H51" s="1">
        <v>0.20367534500000001</v>
      </c>
      <c r="I51" s="1">
        <v>0.12914752400000001</v>
      </c>
      <c r="J51" s="1">
        <v>0.137825421</v>
      </c>
      <c r="K51" s="1">
        <v>0.137825421</v>
      </c>
      <c r="L51" s="1">
        <v>0.39152628900000003</v>
      </c>
      <c r="M51" s="1">
        <v>86</v>
      </c>
      <c r="N51" s="1" t="s">
        <v>48</v>
      </c>
    </row>
    <row r="52" spans="1:14" ht="15.75" customHeight="1">
      <c r="A52" s="1">
        <v>0.87439242800000005</v>
      </c>
      <c r="B52" s="1">
        <v>1306</v>
      </c>
      <c r="C52" s="1">
        <v>28</v>
      </c>
      <c r="D52" s="1">
        <v>7238</v>
      </c>
      <c r="E52" s="1">
        <v>48700</v>
      </c>
      <c r="F52" s="1">
        <v>48700</v>
      </c>
      <c r="G52" s="1" t="s">
        <v>23</v>
      </c>
      <c r="H52" s="1">
        <v>0.123636364</v>
      </c>
      <c r="I52" s="1">
        <v>9.5454545000000002E-2</v>
      </c>
      <c r="J52" s="1">
        <v>0.121818182</v>
      </c>
      <c r="K52" s="1">
        <v>0.14272727299999999</v>
      </c>
      <c r="L52" s="1">
        <v>0.51636363600000001</v>
      </c>
      <c r="M52" s="1">
        <v>86</v>
      </c>
      <c r="N52" s="1" t="s">
        <v>48</v>
      </c>
    </row>
    <row r="53" spans="1:14" ht="15.75" customHeight="1">
      <c r="A53" s="1">
        <v>0.47379961799999998</v>
      </c>
      <c r="B53" s="1">
        <v>1392</v>
      </c>
      <c r="C53" s="1">
        <v>31</v>
      </c>
      <c r="D53" s="1">
        <v>7593</v>
      </c>
      <c r="E53" s="1">
        <v>56543</v>
      </c>
      <c r="F53" s="1">
        <v>56543</v>
      </c>
      <c r="G53" s="1" t="s">
        <v>23</v>
      </c>
      <c r="H53" s="1">
        <v>0.11223458</v>
      </c>
      <c r="I53" s="1">
        <v>6.9767441999999999E-2</v>
      </c>
      <c r="J53" s="1">
        <v>9.6056622999999994E-2</v>
      </c>
      <c r="K53" s="1">
        <v>0.130434783</v>
      </c>
      <c r="L53" s="1">
        <v>0.59150657200000001</v>
      </c>
      <c r="M53" s="1">
        <v>91</v>
      </c>
      <c r="N53" s="1" t="s">
        <v>48</v>
      </c>
    </row>
    <row r="54" spans="1:14" ht="15.75" customHeight="1">
      <c r="A54" s="1">
        <v>0.56278771500000002</v>
      </c>
      <c r="B54" s="1">
        <v>1412</v>
      </c>
      <c r="C54" s="1">
        <v>32</v>
      </c>
      <c r="D54" s="1">
        <v>10239</v>
      </c>
      <c r="E54" s="1">
        <v>61992</v>
      </c>
      <c r="F54" s="1">
        <v>61992</v>
      </c>
      <c r="G54" s="1" t="s">
        <v>23</v>
      </c>
      <c r="H54" s="1">
        <v>0.200386598</v>
      </c>
      <c r="I54" s="1">
        <v>0.10373711300000001</v>
      </c>
      <c r="J54" s="1">
        <v>9.7293814000000006E-2</v>
      </c>
      <c r="K54" s="1">
        <v>0.10244845399999999</v>
      </c>
      <c r="L54" s="1">
        <v>0.49613402099999998</v>
      </c>
      <c r="M54" s="1">
        <v>91</v>
      </c>
      <c r="N54" s="1" t="s">
        <v>48</v>
      </c>
    </row>
    <row r="55" spans="1:14" ht="15.75" customHeight="1">
      <c r="A55" s="1">
        <v>0.71399727999999996</v>
      </c>
      <c r="B55" s="1">
        <v>1378</v>
      </c>
      <c r="C55" s="1">
        <v>31</v>
      </c>
      <c r="D55" s="1">
        <v>13225</v>
      </c>
      <c r="E55" s="1">
        <v>57016</v>
      </c>
      <c r="F55" s="1">
        <v>57016</v>
      </c>
      <c r="G55" s="1" t="s">
        <v>23</v>
      </c>
      <c r="H55" s="1">
        <v>0.196036191</v>
      </c>
      <c r="I55" s="1">
        <v>0.125807841</v>
      </c>
      <c r="J55" s="1">
        <v>0.130978027</v>
      </c>
      <c r="K55" s="1">
        <v>0.15769065099999999</v>
      </c>
      <c r="L55" s="1">
        <v>0.38948728999999999</v>
      </c>
      <c r="M55" s="1">
        <v>91</v>
      </c>
      <c r="N55" s="1" t="s">
        <v>48</v>
      </c>
    </row>
    <row r="56" spans="1:14" ht="15.75" customHeight="1">
      <c r="A56" s="1">
        <v>0.50992827500000004</v>
      </c>
      <c r="B56" s="1">
        <v>1313</v>
      </c>
      <c r="C56" s="1">
        <v>29</v>
      </c>
      <c r="D56" s="1">
        <v>15007</v>
      </c>
      <c r="E56" s="1">
        <v>54844</v>
      </c>
      <c r="F56" s="1">
        <v>54844</v>
      </c>
      <c r="G56" s="1" t="s">
        <v>23</v>
      </c>
      <c r="H56" s="1">
        <v>9.7591888000000002E-2</v>
      </c>
      <c r="I56" s="1">
        <v>4.4359949000000003E-2</v>
      </c>
      <c r="J56" s="1">
        <v>0.110899873</v>
      </c>
      <c r="K56" s="1">
        <v>0.14575411899999999</v>
      </c>
      <c r="L56" s="1">
        <v>0.60139416999999995</v>
      </c>
      <c r="M56" s="1">
        <v>91</v>
      </c>
      <c r="N56" s="1" t="s">
        <v>48</v>
      </c>
    </row>
    <row r="57" spans="1:14" ht="15.75" customHeight="1">
      <c r="A57" s="1">
        <v>0.61224489800000004</v>
      </c>
      <c r="B57" s="1">
        <v>1424</v>
      </c>
      <c r="C57" s="1">
        <v>32</v>
      </c>
      <c r="D57" s="1">
        <v>7106</v>
      </c>
      <c r="E57" s="1">
        <v>64460</v>
      </c>
      <c r="F57" s="1">
        <v>64460</v>
      </c>
      <c r="G57" s="1" t="s">
        <v>23</v>
      </c>
      <c r="H57" s="1">
        <v>0.14257425700000001</v>
      </c>
      <c r="I57" s="1">
        <v>0.102970297</v>
      </c>
      <c r="J57" s="1">
        <v>0.16237623800000001</v>
      </c>
      <c r="K57" s="1">
        <v>0.114851485</v>
      </c>
      <c r="L57" s="1">
        <v>0.47722772299999999</v>
      </c>
      <c r="M57" s="1">
        <v>91</v>
      </c>
      <c r="N57" s="1" t="s">
        <v>48</v>
      </c>
    </row>
    <row r="58" spans="1:14" ht="15.75" customHeight="1">
      <c r="A58" s="1">
        <v>0.63747810900000001</v>
      </c>
      <c r="B58" s="1">
        <v>1410</v>
      </c>
      <c r="C58" s="1">
        <v>31</v>
      </c>
      <c r="D58" s="1">
        <v>2942</v>
      </c>
      <c r="E58" s="1">
        <v>49900</v>
      </c>
      <c r="F58" s="1">
        <v>49900</v>
      </c>
      <c r="G58" s="1" t="s">
        <v>23</v>
      </c>
      <c r="H58" s="1">
        <v>0.2</v>
      </c>
      <c r="I58" s="1">
        <v>0.11</v>
      </c>
      <c r="J58" s="1">
        <v>0.14499999999999999</v>
      </c>
      <c r="K58" s="1">
        <v>0.12</v>
      </c>
      <c r="L58" s="1">
        <v>0.42499999999999999</v>
      </c>
      <c r="M58" s="1">
        <v>98</v>
      </c>
      <c r="N58" s="1" t="s">
        <v>48</v>
      </c>
    </row>
    <row r="59" spans="1:14" ht="15.75" customHeight="1">
      <c r="A59" s="1">
        <v>0.75960125899999997</v>
      </c>
      <c r="B59" s="1">
        <v>1316</v>
      </c>
      <c r="C59" s="1">
        <v>28</v>
      </c>
      <c r="D59" s="1">
        <v>5098</v>
      </c>
      <c r="E59" s="1">
        <v>53500</v>
      </c>
      <c r="F59" s="1">
        <v>53500</v>
      </c>
      <c r="G59" s="1" t="s">
        <v>23</v>
      </c>
      <c r="H59" s="1">
        <v>0.11409395999999999</v>
      </c>
      <c r="I59" s="1">
        <v>9.0604027000000004E-2</v>
      </c>
      <c r="J59" s="1">
        <v>9.5637583999999998E-2</v>
      </c>
      <c r="K59" s="1">
        <v>0.154362416</v>
      </c>
      <c r="L59" s="1">
        <v>0.54530201300000003</v>
      </c>
      <c r="M59" s="1">
        <v>98</v>
      </c>
      <c r="N59" s="1" t="s">
        <v>48</v>
      </c>
    </row>
    <row r="60" spans="1:14" ht="15.75" customHeight="1">
      <c r="A60" s="1">
        <v>0.51943817400000003</v>
      </c>
      <c r="B60" s="1">
        <v>1197</v>
      </c>
      <c r="C60" s="1">
        <v>24</v>
      </c>
      <c r="D60" s="1">
        <v>713</v>
      </c>
      <c r="E60" s="1">
        <v>22750</v>
      </c>
      <c r="F60" s="1">
        <v>22750</v>
      </c>
      <c r="G60" s="1" t="s">
        <v>23</v>
      </c>
      <c r="H60" s="1">
        <v>0.156862745</v>
      </c>
      <c r="I60" s="1">
        <v>7.3529412000000002E-2</v>
      </c>
      <c r="J60" s="1">
        <v>0.117647059</v>
      </c>
      <c r="K60" s="1">
        <v>0.13725490200000001</v>
      </c>
      <c r="L60" s="1">
        <v>0.514705882</v>
      </c>
      <c r="M60" s="1" t="s">
        <v>16</v>
      </c>
      <c r="N60" s="1" t="s">
        <v>17</v>
      </c>
    </row>
    <row r="61" spans="1:14" ht="15.75" customHeight="1">
      <c r="A61" s="1">
        <v>0.66125419900000004</v>
      </c>
      <c r="B61" s="1">
        <v>1016</v>
      </c>
      <c r="C61" s="1">
        <v>19</v>
      </c>
      <c r="D61" s="1">
        <v>1555</v>
      </c>
      <c r="E61" s="1">
        <v>23920</v>
      </c>
      <c r="F61" s="1">
        <v>23920</v>
      </c>
      <c r="G61" s="1" t="s">
        <v>23</v>
      </c>
      <c r="H61" s="1">
        <v>0.97452229300000004</v>
      </c>
      <c r="I61" s="1">
        <v>6.3694270000000004E-3</v>
      </c>
      <c r="J61" s="1">
        <v>6.3694270000000004E-3</v>
      </c>
      <c r="K61" s="1">
        <v>6.3694270000000004E-3</v>
      </c>
      <c r="L61" s="1">
        <v>6.3694270000000004E-3</v>
      </c>
      <c r="M61" s="1" t="s">
        <v>16</v>
      </c>
      <c r="N61" s="1" t="s">
        <v>17</v>
      </c>
    </row>
    <row r="62" spans="1:14" ht="15.75" customHeight="1">
      <c r="A62" s="1">
        <v>0.70825261500000003</v>
      </c>
      <c r="B62" s="1">
        <v>1148</v>
      </c>
      <c r="C62" s="1">
        <v>23</v>
      </c>
      <c r="D62" s="1">
        <v>865</v>
      </c>
      <c r="E62" s="1">
        <v>28650</v>
      </c>
      <c r="F62" s="1">
        <v>28650</v>
      </c>
      <c r="G62" s="1" t="s">
        <v>23</v>
      </c>
      <c r="H62" s="1">
        <v>0.26600985199999999</v>
      </c>
      <c r="I62" s="1">
        <v>0.18719211799999999</v>
      </c>
      <c r="J62" s="1">
        <v>0.133004926</v>
      </c>
      <c r="K62" s="1">
        <v>0.15270935999999999</v>
      </c>
      <c r="L62" s="1">
        <v>0.26108374400000001</v>
      </c>
      <c r="M62" s="1" t="s">
        <v>16</v>
      </c>
      <c r="N62" s="1" t="s">
        <v>17</v>
      </c>
    </row>
    <row r="63" spans="1:14" ht="15.75" customHeight="1">
      <c r="A63" s="1">
        <v>0.72507204599999997</v>
      </c>
      <c r="B63" s="1">
        <v>1220</v>
      </c>
      <c r="C63" s="1">
        <v>25</v>
      </c>
      <c r="D63" s="1">
        <v>1079</v>
      </c>
      <c r="E63" s="1">
        <v>26120</v>
      </c>
      <c r="F63" s="1">
        <v>26120</v>
      </c>
      <c r="G63" s="1" t="s">
        <v>23</v>
      </c>
      <c r="H63" s="1">
        <v>0.30726257000000001</v>
      </c>
      <c r="I63" s="1">
        <v>0.139664804</v>
      </c>
      <c r="J63" s="1">
        <v>0.12849162</v>
      </c>
      <c r="K63" s="1">
        <v>0.16759776500000001</v>
      </c>
      <c r="L63" s="1">
        <v>0.25698324</v>
      </c>
      <c r="M63" s="1" t="s">
        <v>16</v>
      </c>
      <c r="N63" s="1" t="s">
        <v>17</v>
      </c>
    </row>
    <row r="64" spans="1:14" ht="15.75" customHeight="1">
      <c r="A64" s="1">
        <v>0.82228584000000005</v>
      </c>
      <c r="B64" s="1">
        <v>1203</v>
      </c>
      <c r="C64" s="1">
        <v>25</v>
      </c>
      <c r="D64" s="1">
        <v>3828</v>
      </c>
      <c r="E64" s="1">
        <v>38144</v>
      </c>
      <c r="F64" s="1">
        <v>38144</v>
      </c>
      <c r="G64" s="1" t="s">
        <v>23</v>
      </c>
      <c r="H64" s="1">
        <v>0.11633663399999999</v>
      </c>
      <c r="I64" s="1">
        <v>7.9207921000000001E-2</v>
      </c>
      <c r="J64" s="1">
        <v>0.12623762399999999</v>
      </c>
      <c r="K64" s="1">
        <v>0.173267327</v>
      </c>
      <c r="L64" s="1">
        <v>0.504950495</v>
      </c>
      <c r="M64" s="1" t="s">
        <v>16</v>
      </c>
      <c r="N64" s="1" t="s">
        <v>17</v>
      </c>
    </row>
    <row r="65" spans="1:14" ht="15.75" customHeight="1">
      <c r="A65" s="1">
        <v>0.59104870600000003</v>
      </c>
      <c r="B65" s="1">
        <v>1090</v>
      </c>
      <c r="C65" s="1">
        <v>21</v>
      </c>
      <c r="D65" s="1">
        <v>850</v>
      </c>
      <c r="E65" s="1">
        <v>23270</v>
      </c>
      <c r="F65" s="1">
        <v>23270</v>
      </c>
      <c r="G65" s="1" t="s">
        <v>23</v>
      </c>
      <c r="H65" s="1">
        <v>3.7037037000000002E-2</v>
      </c>
      <c r="I65" s="1">
        <v>1.2345679E-2</v>
      </c>
      <c r="J65" s="1">
        <v>4.3209877000000001E-2</v>
      </c>
      <c r="K65" s="1">
        <v>1.8518519000000001E-2</v>
      </c>
      <c r="L65" s="1">
        <v>0.88888888899999996</v>
      </c>
      <c r="M65" s="1" t="s">
        <v>16</v>
      </c>
      <c r="N65" s="1" t="s">
        <v>17</v>
      </c>
    </row>
    <row r="66" spans="1:14" ht="15.75" customHeight="1">
      <c r="A66" s="1">
        <v>0.31425651500000001</v>
      </c>
      <c r="B66" s="1">
        <v>1121</v>
      </c>
      <c r="C66" s="1">
        <v>22</v>
      </c>
      <c r="D66" s="1">
        <v>2367</v>
      </c>
      <c r="E66" s="1">
        <v>23440</v>
      </c>
      <c r="F66" s="1">
        <v>23440</v>
      </c>
      <c r="G66" s="1" t="s">
        <v>23</v>
      </c>
      <c r="H66" s="1">
        <v>0.37606837599999998</v>
      </c>
      <c r="I66" s="1">
        <v>0.28774928799999999</v>
      </c>
      <c r="J66" s="1">
        <v>0.24501424499999999</v>
      </c>
      <c r="K66" s="1">
        <v>9.1168091000000007E-2</v>
      </c>
      <c r="L66" s="1">
        <v>0</v>
      </c>
      <c r="M66" s="1" t="s">
        <v>16</v>
      </c>
      <c r="N66" s="1" t="s">
        <v>17</v>
      </c>
    </row>
    <row r="67" spans="1:14" ht="15.75" customHeight="1">
      <c r="A67" s="1">
        <v>0.67846353000000004</v>
      </c>
      <c r="B67" s="1">
        <v>1256</v>
      </c>
      <c r="C67" s="1">
        <v>26</v>
      </c>
      <c r="D67" s="1">
        <v>3245</v>
      </c>
      <c r="E67" s="1">
        <v>42204</v>
      </c>
      <c r="F67" s="1">
        <v>42204</v>
      </c>
      <c r="G67" s="1" t="s">
        <v>23</v>
      </c>
      <c r="H67" s="1">
        <v>0.14973262000000001</v>
      </c>
      <c r="I67" s="1">
        <v>8.5561497E-2</v>
      </c>
      <c r="J67" s="1">
        <v>0.109625668</v>
      </c>
      <c r="K67" s="1">
        <v>0.157754011</v>
      </c>
      <c r="L67" s="1">
        <v>0.49732620300000002</v>
      </c>
      <c r="M67" s="1" t="s">
        <v>16</v>
      </c>
      <c r="N67" s="1" t="s">
        <v>17</v>
      </c>
    </row>
    <row r="68" spans="1:14" ht="15.75" customHeight="1">
      <c r="A68" s="1">
        <v>1</v>
      </c>
      <c r="B68" s="1">
        <v>980</v>
      </c>
      <c r="C68" s="1">
        <v>18</v>
      </c>
      <c r="D68" s="1">
        <v>512</v>
      </c>
      <c r="E68" s="1">
        <v>13593</v>
      </c>
      <c r="F68" s="1">
        <v>13593</v>
      </c>
      <c r="G68" s="1" t="s">
        <v>23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 t="s">
        <v>16</v>
      </c>
      <c r="N68" s="1" t="s">
        <v>17</v>
      </c>
    </row>
    <row r="69" spans="1:14" ht="15.75" customHeight="1">
      <c r="A69" s="1">
        <v>0.46357615899999999</v>
      </c>
      <c r="B69" s="1">
        <v>1022</v>
      </c>
      <c r="C69" s="1">
        <v>19</v>
      </c>
      <c r="D69" s="1">
        <v>477</v>
      </c>
      <c r="E69" s="1">
        <v>19680</v>
      </c>
      <c r="F69" s="1">
        <v>19680</v>
      </c>
      <c r="G69" s="1" t="s">
        <v>23</v>
      </c>
      <c r="H69" s="1">
        <v>0.26923076899999998</v>
      </c>
      <c r="I69" s="1">
        <v>0.20512820500000001</v>
      </c>
      <c r="J69" s="1">
        <v>0.102564103</v>
      </c>
      <c r="K69" s="1">
        <v>0.16666666699999999</v>
      </c>
      <c r="L69" s="1">
        <v>0.256410256</v>
      </c>
      <c r="M69" s="1" t="s">
        <v>16</v>
      </c>
      <c r="N69" s="1" t="s">
        <v>17</v>
      </c>
    </row>
    <row r="70" spans="1:14" ht="15.75" customHeight="1">
      <c r="A70" s="1">
        <v>1</v>
      </c>
      <c r="B70" s="1">
        <v>1187</v>
      </c>
      <c r="C70" s="1">
        <v>24</v>
      </c>
      <c r="D70" s="1">
        <v>3323</v>
      </c>
      <c r="E70" s="1">
        <v>24888</v>
      </c>
      <c r="F70" s="1">
        <v>24888</v>
      </c>
      <c r="G70" s="1" t="s">
        <v>23</v>
      </c>
      <c r="H70" s="1">
        <v>0.138755981</v>
      </c>
      <c r="I70" s="1">
        <v>0.100478469</v>
      </c>
      <c r="J70" s="1">
        <v>0.18181818199999999</v>
      </c>
      <c r="K70" s="1">
        <v>0.251196172</v>
      </c>
      <c r="L70" s="1">
        <v>0.32775119600000002</v>
      </c>
      <c r="M70" s="1" t="s">
        <v>16</v>
      </c>
      <c r="N70" s="1" t="s">
        <v>17</v>
      </c>
    </row>
    <row r="71" spans="1:14" ht="15.75" customHeight="1">
      <c r="A71" s="1">
        <v>0.52981651399999996</v>
      </c>
      <c r="B71" s="1">
        <v>1336</v>
      </c>
      <c r="C71" s="1">
        <v>29</v>
      </c>
      <c r="D71" s="1">
        <v>1094</v>
      </c>
      <c r="E71" s="1">
        <v>36650</v>
      </c>
      <c r="F71" s="1">
        <v>36650</v>
      </c>
      <c r="G71" s="1" t="s">
        <v>23</v>
      </c>
      <c r="H71" s="1">
        <v>0.16071428600000001</v>
      </c>
      <c r="I71" s="1">
        <v>0.10714285699999999</v>
      </c>
      <c r="J71" s="1">
        <v>0.165178571</v>
      </c>
      <c r="K71" s="1">
        <v>0.17410714299999999</v>
      </c>
      <c r="L71" s="1">
        <v>0.39285714300000002</v>
      </c>
      <c r="M71" s="1" t="s">
        <v>16</v>
      </c>
      <c r="N71" s="1" t="s">
        <v>17</v>
      </c>
    </row>
    <row r="72" spans="1:14" ht="15.75" customHeight="1">
      <c r="A72" s="1">
        <v>0.67637540500000004</v>
      </c>
      <c r="B72" s="1">
        <v>1222</v>
      </c>
      <c r="C72" s="1">
        <v>25</v>
      </c>
      <c r="D72" s="1">
        <v>1415</v>
      </c>
      <c r="E72" s="1">
        <v>30832</v>
      </c>
      <c r="F72" s="1">
        <v>30832</v>
      </c>
      <c r="G72" s="1" t="s">
        <v>23</v>
      </c>
      <c r="H72" s="1">
        <v>0.18787878799999999</v>
      </c>
      <c r="I72" s="1">
        <v>0.133333333</v>
      </c>
      <c r="J72" s="1">
        <v>0.12121212100000001</v>
      </c>
      <c r="K72" s="1">
        <v>0.24848484800000001</v>
      </c>
      <c r="L72" s="1">
        <v>0.30909090900000002</v>
      </c>
      <c r="M72" s="1" t="s">
        <v>16</v>
      </c>
      <c r="N72" s="1" t="s">
        <v>17</v>
      </c>
    </row>
    <row r="73" spans="1:14" ht="15.75" customHeight="1">
      <c r="A73" s="1">
        <v>0.68521983200000003</v>
      </c>
      <c r="B73" s="1">
        <v>1212</v>
      </c>
      <c r="C73" s="1">
        <v>25</v>
      </c>
      <c r="D73" s="1">
        <v>1612</v>
      </c>
      <c r="E73" s="1">
        <v>32480</v>
      </c>
      <c r="F73" s="1">
        <v>32480</v>
      </c>
      <c r="G73" s="1" t="s">
        <v>23</v>
      </c>
      <c r="H73" s="1">
        <v>0.14071856299999999</v>
      </c>
      <c r="I73" s="1">
        <v>6.2874251000000006E-2</v>
      </c>
      <c r="J73" s="1">
        <v>0.116766467</v>
      </c>
      <c r="K73" s="1">
        <v>0.179640719</v>
      </c>
      <c r="L73" s="1">
        <v>0.5</v>
      </c>
      <c r="M73" s="1" t="s">
        <v>16</v>
      </c>
      <c r="N73" s="1" t="s">
        <v>17</v>
      </c>
    </row>
    <row r="74" spans="1:14" ht="15.75" customHeight="1">
      <c r="A74" s="1">
        <v>0.58141962400000002</v>
      </c>
      <c r="B74" s="1">
        <v>1088</v>
      </c>
      <c r="C74" s="1">
        <v>21</v>
      </c>
      <c r="D74" s="1">
        <v>753</v>
      </c>
      <c r="E74" s="1">
        <v>25950</v>
      </c>
      <c r="F74" s="1">
        <v>25950</v>
      </c>
      <c r="G74" s="1" t="s">
        <v>23</v>
      </c>
      <c r="H74" s="1">
        <v>0.32191780800000003</v>
      </c>
      <c r="I74" s="1">
        <v>0.15753424699999999</v>
      </c>
      <c r="J74" s="1">
        <v>0.16438356200000001</v>
      </c>
      <c r="K74" s="1">
        <v>0.11643835600000001</v>
      </c>
      <c r="L74" s="1">
        <v>0.23972602700000001</v>
      </c>
      <c r="M74" s="1" t="s">
        <v>16</v>
      </c>
      <c r="N74" s="1" t="s">
        <v>17</v>
      </c>
    </row>
    <row r="75" spans="1:14" ht="15.75" customHeight="1">
      <c r="A75" s="1">
        <v>0.58875739599999999</v>
      </c>
      <c r="B75" s="1">
        <v>1018</v>
      </c>
      <c r="C75" s="1">
        <v>19</v>
      </c>
      <c r="D75" s="1">
        <v>490</v>
      </c>
      <c r="E75" s="1">
        <v>20330</v>
      </c>
      <c r="F75" s="1">
        <v>20330</v>
      </c>
      <c r="G75" s="1" t="s">
        <v>23</v>
      </c>
      <c r="H75" s="1">
        <v>0.35849056600000001</v>
      </c>
      <c r="I75" s="1">
        <v>0.122641509</v>
      </c>
      <c r="J75" s="1">
        <v>0.16981132099999999</v>
      </c>
      <c r="K75" s="1">
        <v>0.11320754700000001</v>
      </c>
      <c r="L75" s="1">
        <v>0.235849057</v>
      </c>
      <c r="M75" s="1" t="s">
        <v>16</v>
      </c>
      <c r="N75" s="1" t="s">
        <v>17</v>
      </c>
    </row>
    <row r="76" spans="1:14" ht="15.75" customHeight="1">
      <c r="A76" s="1">
        <v>0.79480519500000002</v>
      </c>
      <c r="B76" s="1">
        <v>1155</v>
      </c>
      <c r="C76" s="1">
        <v>24</v>
      </c>
      <c r="D76" s="1">
        <v>2977</v>
      </c>
      <c r="E76" s="1">
        <v>43600</v>
      </c>
      <c r="F76" s="1">
        <v>43600</v>
      </c>
      <c r="G76" s="1" t="s">
        <v>23</v>
      </c>
      <c r="H76" s="1">
        <v>0.34920634900000003</v>
      </c>
      <c r="I76" s="1">
        <v>0.21164021199999999</v>
      </c>
      <c r="J76" s="1">
        <v>0.222222222</v>
      </c>
      <c r="K76" s="1">
        <v>0.14285714299999999</v>
      </c>
      <c r="L76" s="1">
        <v>7.4074074000000004E-2</v>
      </c>
      <c r="M76" s="1" t="s">
        <v>16</v>
      </c>
      <c r="N76" s="1" t="s">
        <v>17</v>
      </c>
    </row>
    <row r="77" spans="1:14" ht="15.75" customHeight="1">
      <c r="A77" s="1">
        <v>0.60079939999999998</v>
      </c>
      <c r="B77" s="1">
        <v>1258</v>
      </c>
      <c r="C77" s="1">
        <v>28</v>
      </c>
      <c r="D77" s="1">
        <v>3390</v>
      </c>
      <c r="E77" s="1">
        <v>46704</v>
      </c>
      <c r="F77" s="1">
        <v>46704</v>
      </c>
      <c r="G77" s="1" t="s">
        <v>23</v>
      </c>
      <c r="H77" s="1">
        <v>0.19672131100000001</v>
      </c>
      <c r="I77" s="1">
        <v>0.14480874299999999</v>
      </c>
      <c r="J77" s="1">
        <v>0.180327869</v>
      </c>
      <c r="K77" s="1">
        <v>0.14207650299999999</v>
      </c>
      <c r="L77" s="1">
        <v>0.33606557399999998</v>
      </c>
      <c r="M77" s="1" t="s">
        <v>16</v>
      </c>
      <c r="N77" s="1" t="s">
        <v>17</v>
      </c>
    </row>
    <row r="78" spans="1:14" ht="15.75" customHeight="1">
      <c r="A78" s="1">
        <v>0.88884688099999998</v>
      </c>
      <c r="B78" s="1">
        <v>1224</v>
      </c>
      <c r="C78" s="1">
        <v>26</v>
      </c>
      <c r="D78" s="1">
        <v>2374</v>
      </c>
      <c r="E78" s="1">
        <v>50670</v>
      </c>
      <c r="F78" s="1">
        <v>50670</v>
      </c>
      <c r="G78" s="1" t="s">
        <v>23</v>
      </c>
      <c r="H78" s="1">
        <v>0.16176470600000001</v>
      </c>
      <c r="I78" s="1">
        <v>8.2720587999999998E-2</v>
      </c>
      <c r="J78" s="1">
        <v>0.12316176500000001</v>
      </c>
      <c r="K78" s="1">
        <v>0.15073529399999999</v>
      </c>
      <c r="L78" s="1">
        <v>0.48161764699999998</v>
      </c>
      <c r="M78" s="1" t="s">
        <v>16</v>
      </c>
      <c r="N78" s="1" t="s">
        <v>17</v>
      </c>
    </row>
    <row r="79" spans="1:14" ht="15.75" customHeight="1">
      <c r="A79" s="1">
        <v>0.55605127600000004</v>
      </c>
      <c r="B79" s="1">
        <v>1353</v>
      </c>
      <c r="C79" s="1">
        <v>30</v>
      </c>
      <c r="D79" s="1">
        <v>7629</v>
      </c>
      <c r="E79" s="1">
        <v>62784</v>
      </c>
      <c r="F79" s="1">
        <v>62784</v>
      </c>
      <c r="G79" s="1" t="s">
        <v>23</v>
      </c>
      <c r="H79" s="1">
        <v>0.16791510600000001</v>
      </c>
      <c r="I79" s="1">
        <v>8.3645443E-2</v>
      </c>
      <c r="J79" s="1">
        <v>0.107365793</v>
      </c>
      <c r="K79" s="1">
        <v>0.11672908899999999</v>
      </c>
      <c r="L79" s="1">
        <v>0.52434456900000004</v>
      </c>
      <c r="M79" s="1" t="s">
        <v>16</v>
      </c>
      <c r="N79" s="1" t="s">
        <v>17</v>
      </c>
    </row>
    <row r="80" spans="1:14" ht="15.75" customHeight="1">
      <c r="A80" s="1">
        <v>0.11122607299999999</v>
      </c>
      <c r="B80" s="1">
        <v>1514</v>
      </c>
      <c r="C80" s="1">
        <v>34</v>
      </c>
      <c r="D80" s="1">
        <v>1379</v>
      </c>
      <c r="E80" s="1">
        <v>64150</v>
      </c>
      <c r="F80" s="1">
        <v>64150</v>
      </c>
      <c r="G80" s="1" t="s">
        <v>23</v>
      </c>
      <c r="H80" s="1">
        <v>0.14150943399999999</v>
      </c>
      <c r="I80" s="1">
        <v>0.26415094300000003</v>
      </c>
      <c r="J80" s="1">
        <v>0.14150943399999999</v>
      </c>
      <c r="K80" s="1">
        <v>9.4339622999999997E-2</v>
      </c>
      <c r="L80" s="1">
        <v>0.35849056600000001</v>
      </c>
      <c r="M80" s="1" t="s">
        <v>16</v>
      </c>
      <c r="N80" s="1" t="s">
        <v>17</v>
      </c>
    </row>
    <row r="81" spans="1:14" ht="15.75" customHeight="1">
      <c r="A81" s="1">
        <v>0.95624067599999996</v>
      </c>
      <c r="B81" s="1">
        <v>1194</v>
      </c>
      <c r="C81" s="1">
        <v>24</v>
      </c>
      <c r="D81" s="1">
        <v>1178</v>
      </c>
      <c r="E81" s="1">
        <v>50666</v>
      </c>
      <c r="F81" s="1">
        <v>50666</v>
      </c>
      <c r="G81" s="1" t="s">
        <v>23</v>
      </c>
      <c r="H81" s="1">
        <v>0.18181818199999999</v>
      </c>
      <c r="I81" s="1">
        <v>0.103030303</v>
      </c>
      <c r="J81" s="1">
        <v>0.16969697</v>
      </c>
      <c r="K81" s="1">
        <v>8.4848485000000001E-2</v>
      </c>
      <c r="L81" s="1">
        <v>0.46060606100000001</v>
      </c>
      <c r="M81" s="1" t="s">
        <v>16</v>
      </c>
      <c r="N81" s="1" t="s">
        <v>17</v>
      </c>
    </row>
    <row r="82" spans="1:14" ht="15.75" customHeight="1">
      <c r="A82" s="1">
        <v>0.13063439099999999</v>
      </c>
      <c r="B82" s="1">
        <v>1537</v>
      </c>
      <c r="C82" s="1">
        <v>35</v>
      </c>
      <c r="D82" s="1">
        <v>915</v>
      </c>
      <c r="E82" s="1">
        <v>66255</v>
      </c>
      <c r="F82" s="1">
        <v>66255</v>
      </c>
      <c r="G82" s="1" t="s">
        <v>23</v>
      </c>
      <c r="H82" s="1">
        <v>0.15151515199999999</v>
      </c>
      <c r="I82" s="1">
        <v>0.12121212100000001</v>
      </c>
      <c r="J82" s="1">
        <v>0.131313131</v>
      </c>
      <c r="K82" s="1">
        <v>0.14141414099999999</v>
      </c>
      <c r="L82" s="1">
        <v>0.45454545499999999</v>
      </c>
      <c r="M82" s="1" t="s">
        <v>16</v>
      </c>
      <c r="N82" s="1" t="s">
        <v>17</v>
      </c>
    </row>
    <row r="83" spans="1:14" ht="15.75" customHeight="1">
      <c r="A83" s="1">
        <v>0.48478683099999997</v>
      </c>
      <c r="B83" s="1">
        <v>1116</v>
      </c>
      <c r="C83" s="1">
        <v>22</v>
      </c>
      <c r="D83" s="1">
        <v>3341</v>
      </c>
      <c r="E83" s="1">
        <v>47000</v>
      </c>
      <c r="F83" s="1">
        <v>47000</v>
      </c>
      <c r="G83" s="1" t="s">
        <v>23</v>
      </c>
      <c r="H83" s="1">
        <v>0.99347471499999995</v>
      </c>
      <c r="I83" s="1">
        <v>3.262643E-3</v>
      </c>
      <c r="J83" s="1">
        <v>1.631321E-3</v>
      </c>
      <c r="K83" s="1">
        <v>0</v>
      </c>
      <c r="L83" s="1">
        <v>1.631321E-3</v>
      </c>
      <c r="M83" s="1" t="s">
        <v>16</v>
      </c>
      <c r="N83" s="1" t="s">
        <v>17</v>
      </c>
    </row>
    <row r="84" spans="1:14" ht="15.75" customHeight="1">
      <c r="A84" s="1">
        <v>0.39890460999999999</v>
      </c>
      <c r="B84" s="1">
        <v>1461</v>
      </c>
      <c r="C84" s="1">
        <v>33</v>
      </c>
      <c r="D84" s="1">
        <v>1844</v>
      </c>
      <c r="E84" s="1">
        <v>63446</v>
      </c>
      <c r="F84" s="1">
        <v>63446</v>
      </c>
      <c r="G84" s="1" t="s">
        <v>23</v>
      </c>
      <c r="H84" s="1">
        <v>0.105058366</v>
      </c>
      <c r="I84" s="1">
        <v>0.12451361900000001</v>
      </c>
      <c r="J84" s="1">
        <v>8.1712062000000002E-2</v>
      </c>
      <c r="K84" s="1">
        <v>0.18287937700000001</v>
      </c>
      <c r="L84" s="1">
        <v>0.50583657599999998</v>
      </c>
      <c r="M84" s="1" t="s">
        <v>16</v>
      </c>
      <c r="N84" s="1" t="s">
        <v>17</v>
      </c>
    </row>
    <row r="85" spans="1:14" ht="15.75" customHeight="1">
      <c r="A85" s="1">
        <v>0.42479213900000001</v>
      </c>
      <c r="B85" s="1">
        <v>1093</v>
      </c>
      <c r="C85" s="1">
        <v>23</v>
      </c>
      <c r="D85" s="1">
        <v>910</v>
      </c>
      <c r="E85" s="1">
        <v>35214</v>
      </c>
      <c r="F85" s="1">
        <v>35214</v>
      </c>
      <c r="G85" s="1" t="s">
        <v>23</v>
      </c>
      <c r="H85" s="1">
        <v>0.13924050599999999</v>
      </c>
      <c r="I85" s="1">
        <v>8.8607594999999997E-2</v>
      </c>
      <c r="J85" s="1">
        <v>0.15189873400000001</v>
      </c>
      <c r="K85" s="1">
        <v>0.18987341799999999</v>
      </c>
      <c r="L85" s="1">
        <v>0.43037974699999998</v>
      </c>
      <c r="M85" s="1" t="s">
        <v>16</v>
      </c>
      <c r="N85" s="1" t="s">
        <v>17</v>
      </c>
    </row>
    <row r="86" spans="1:14" ht="15.75" customHeight="1">
      <c r="A86" s="1">
        <v>0.948637862</v>
      </c>
      <c r="B86" s="1">
        <v>1303</v>
      </c>
      <c r="C86" s="1">
        <v>28</v>
      </c>
      <c r="D86" s="1">
        <v>3247</v>
      </c>
      <c r="E86" s="1">
        <v>55340</v>
      </c>
      <c r="F86" s="1">
        <v>55340</v>
      </c>
      <c r="G86" s="1" t="s">
        <v>23</v>
      </c>
      <c r="H86" s="1">
        <v>0.20076481800000001</v>
      </c>
      <c r="I86" s="1">
        <v>0.14531548799999999</v>
      </c>
      <c r="J86" s="1">
        <v>0.179732314</v>
      </c>
      <c r="K86" s="1">
        <v>0.158699809</v>
      </c>
      <c r="L86" s="1">
        <v>0.31548757199999999</v>
      </c>
      <c r="M86" s="1" t="s">
        <v>16</v>
      </c>
      <c r="N86" s="1" t="s">
        <v>17</v>
      </c>
    </row>
    <row r="87" spans="1:14" ht="15.75" customHeight="1">
      <c r="A87" s="1">
        <v>0.81761827099999995</v>
      </c>
      <c r="B87" s="1">
        <v>1278</v>
      </c>
      <c r="C87" s="1">
        <v>27</v>
      </c>
      <c r="D87" s="1">
        <v>3132</v>
      </c>
      <c r="E87" s="1">
        <v>43550</v>
      </c>
      <c r="F87" s="1">
        <v>43550</v>
      </c>
      <c r="G87" s="1" t="s">
        <v>23</v>
      </c>
      <c r="H87" s="1">
        <v>8.2547170000000003E-2</v>
      </c>
      <c r="I87" s="1">
        <v>8.2547170000000003E-2</v>
      </c>
      <c r="J87" s="1">
        <v>8.7264150999999998E-2</v>
      </c>
      <c r="K87" s="1">
        <v>0.174528302</v>
      </c>
      <c r="L87" s="1">
        <v>0.57311320799999999</v>
      </c>
      <c r="M87" s="1" t="s">
        <v>16</v>
      </c>
      <c r="N87" s="1" t="s">
        <v>17</v>
      </c>
    </row>
    <row r="88" spans="1:14" ht="15.75" customHeight="1">
      <c r="A88" s="1">
        <v>6.7568682000000005E-2</v>
      </c>
      <c r="B88" s="1">
        <v>1520</v>
      </c>
      <c r="C88" s="1">
        <v>34</v>
      </c>
      <c r="D88" s="1">
        <v>1638</v>
      </c>
      <c r="E88" s="1">
        <v>62326</v>
      </c>
      <c r="F88" s="1">
        <v>62326</v>
      </c>
      <c r="G88" s="1" t="s">
        <v>23</v>
      </c>
      <c r="H88" s="1">
        <v>0.16129032300000001</v>
      </c>
      <c r="I88" s="1">
        <v>0.25</v>
      </c>
      <c r="J88" s="1">
        <v>0.16935483900000001</v>
      </c>
      <c r="K88" s="1">
        <v>0.14516129</v>
      </c>
      <c r="L88" s="1">
        <v>0.27419354800000001</v>
      </c>
      <c r="M88" s="1" t="s">
        <v>16</v>
      </c>
      <c r="N88" s="1" t="s">
        <v>17</v>
      </c>
    </row>
    <row r="89" spans="1:14" ht="15.75" customHeight="1">
      <c r="A89" s="1">
        <v>0.80922142500000005</v>
      </c>
      <c r="B89" s="1">
        <v>1231</v>
      </c>
      <c r="C89" s="1">
        <v>28</v>
      </c>
      <c r="D89" s="1">
        <v>2095</v>
      </c>
      <c r="E89" s="1">
        <v>57614</v>
      </c>
      <c r="F89" s="1">
        <v>57614</v>
      </c>
      <c r="G89" s="1" t="s">
        <v>23</v>
      </c>
      <c r="H89" s="1">
        <v>0.28571428599999998</v>
      </c>
      <c r="I89" s="1">
        <v>0.14950166100000001</v>
      </c>
      <c r="J89" s="1">
        <v>0.17940199300000001</v>
      </c>
      <c r="K89" s="1">
        <v>0.18936877099999999</v>
      </c>
      <c r="L89" s="1">
        <v>0.19601328900000001</v>
      </c>
      <c r="M89" s="1" t="s">
        <v>16</v>
      </c>
      <c r="N89" s="1" t="s">
        <v>17</v>
      </c>
    </row>
    <row r="90" spans="1:14" ht="15.75" customHeight="1">
      <c r="A90" s="1">
        <v>0.50768213500000003</v>
      </c>
      <c r="B90" s="1">
        <v>1313</v>
      </c>
      <c r="C90" s="1">
        <v>29</v>
      </c>
      <c r="D90" s="1">
        <v>5697</v>
      </c>
      <c r="E90" s="1">
        <v>58222</v>
      </c>
      <c r="F90" s="1">
        <v>58222</v>
      </c>
      <c r="G90" s="1" t="s">
        <v>23</v>
      </c>
      <c r="H90" s="1">
        <v>0.18927444800000001</v>
      </c>
      <c r="I90" s="1">
        <v>0.14721345999999999</v>
      </c>
      <c r="J90" s="1">
        <v>0.156677182</v>
      </c>
      <c r="K90" s="1">
        <v>0.12618296500000001</v>
      </c>
      <c r="L90" s="1">
        <v>0.38065194499999999</v>
      </c>
      <c r="M90" s="1" t="s">
        <v>16</v>
      </c>
      <c r="N90" s="1" t="s">
        <v>17</v>
      </c>
    </row>
    <row r="91" spans="1:14" ht="15.75" customHeight="1">
      <c r="A91" s="1">
        <v>0.33939000600000002</v>
      </c>
      <c r="B91" s="1">
        <v>1480</v>
      </c>
      <c r="C91" s="1">
        <v>33</v>
      </c>
      <c r="D91" s="1">
        <v>1077</v>
      </c>
      <c r="E91" s="1">
        <v>63434</v>
      </c>
      <c r="F91" s="1">
        <v>63434</v>
      </c>
      <c r="G91" s="1" t="s">
        <v>23</v>
      </c>
      <c r="H91" s="1">
        <v>0.141176471</v>
      </c>
      <c r="I91" s="1">
        <v>3.5294117999999999E-2</v>
      </c>
      <c r="J91" s="1">
        <v>9.4117646999999999E-2</v>
      </c>
      <c r="K91" s="1">
        <v>0.141176471</v>
      </c>
      <c r="L91" s="1">
        <v>0.58823529399999996</v>
      </c>
      <c r="M91" s="1" t="s">
        <v>16</v>
      </c>
      <c r="N91" s="1" t="s">
        <v>17</v>
      </c>
    </row>
    <row r="92" spans="1:14" ht="15.75" customHeight="1">
      <c r="A92" s="1">
        <v>0.787072243</v>
      </c>
      <c r="B92" s="1">
        <v>1277</v>
      </c>
      <c r="C92" s="1">
        <v>29</v>
      </c>
      <c r="D92" s="1">
        <v>539</v>
      </c>
      <c r="E92" s="1">
        <v>28700</v>
      </c>
      <c r="F92" s="1">
        <v>28700</v>
      </c>
      <c r="G92" s="1" t="s">
        <v>23</v>
      </c>
      <c r="H92" s="1">
        <v>8.4210525999999994E-2</v>
      </c>
      <c r="I92" s="1">
        <v>5.2631578999999998E-2</v>
      </c>
      <c r="J92" s="1">
        <v>9.4736842000000002E-2</v>
      </c>
      <c r="K92" s="1">
        <v>0.252631579</v>
      </c>
      <c r="L92" s="1">
        <v>0.51578947399999997</v>
      </c>
      <c r="M92" s="1" t="s">
        <v>16</v>
      </c>
      <c r="N92" s="1" t="s">
        <v>17</v>
      </c>
    </row>
    <row r="93" spans="1:14" ht="15.75" customHeight="1">
      <c r="A93" s="1">
        <v>0.79857397500000005</v>
      </c>
      <c r="B93" s="1">
        <v>1367</v>
      </c>
      <c r="C93" s="1">
        <v>32</v>
      </c>
      <c r="D93" s="1">
        <v>1310</v>
      </c>
      <c r="E93" s="1">
        <v>51790</v>
      </c>
      <c r="F93" s="1">
        <v>51790</v>
      </c>
      <c r="G93" s="1" t="s">
        <v>23</v>
      </c>
      <c r="H93" s="1">
        <v>0.10326087</v>
      </c>
      <c r="I93" s="1">
        <v>9.7826087000000006E-2</v>
      </c>
      <c r="J93" s="1">
        <v>0.114130435</v>
      </c>
      <c r="K93" s="1">
        <v>0.16304347799999999</v>
      </c>
      <c r="L93" s="1">
        <v>0.52173913000000005</v>
      </c>
      <c r="M93" s="1" t="s">
        <v>16</v>
      </c>
      <c r="N93" s="1" t="s">
        <v>17</v>
      </c>
    </row>
    <row r="94" spans="1:14" ht="15.75" customHeight="1">
      <c r="A94" s="1">
        <v>0.200345194</v>
      </c>
      <c r="B94" s="1">
        <v>1445</v>
      </c>
      <c r="C94" s="1">
        <v>32</v>
      </c>
      <c r="D94" s="1">
        <v>2139</v>
      </c>
      <c r="E94" s="1">
        <v>67932</v>
      </c>
      <c r="F94" s="1">
        <v>67932</v>
      </c>
      <c r="G94" s="1" t="s">
        <v>23</v>
      </c>
      <c r="H94" s="1">
        <v>0.13989637299999999</v>
      </c>
      <c r="I94" s="1">
        <v>0.11917098399999999</v>
      </c>
      <c r="J94" s="1">
        <v>0.165803109</v>
      </c>
      <c r="K94" s="1">
        <v>0.14507771999999999</v>
      </c>
      <c r="L94" s="1">
        <v>0.430051813</v>
      </c>
      <c r="M94" s="1" t="s">
        <v>16</v>
      </c>
      <c r="N94" s="1" t="s">
        <v>17</v>
      </c>
    </row>
    <row r="95" spans="1:14" ht="15.75" customHeight="1">
      <c r="A95" s="1">
        <v>0.71192880199999997</v>
      </c>
      <c r="B95" s="1">
        <v>1344</v>
      </c>
      <c r="C95" s="1">
        <v>30</v>
      </c>
      <c r="D95" s="1">
        <v>6059</v>
      </c>
      <c r="E95" s="1">
        <v>59340</v>
      </c>
      <c r="F95" s="1">
        <v>59340</v>
      </c>
      <c r="G95" s="1" t="s">
        <v>23</v>
      </c>
      <c r="H95" s="1">
        <v>0.13986013999999999</v>
      </c>
      <c r="I95" s="1">
        <v>0.114685315</v>
      </c>
      <c r="J95" s="1">
        <v>0.123076923</v>
      </c>
      <c r="K95" s="1">
        <v>0.116083916</v>
      </c>
      <c r="L95" s="1">
        <v>0.50629370600000001</v>
      </c>
      <c r="M95" s="1" t="s">
        <v>16</v>
      </c>
      <c r="N95" s="1" t="s">
        <v>17</v>
      </c>
    </row>
    <row r="96" spans="1:14" ht="15.75" customHeight="1">
      <c r="A96" s="1">
        <v>0.38278173900000001</v>
      </c>
      <c r="B96" s="1">
        <v>1412</v>
      </c>
      <c r="C96" s="1">
        <v>32</v>
      </c>
      <c r="D96" s="1">
        <v>1960</v>
      </c>
      <c r="E96" s="1">
        <v>64812</v>
      </c>
      <c r="F96" s="1">
        <v>64812</v>
      </c>
      <c r="G96" s="1" t="s">
        <v>23</v>
      </c>
      <c r="H96" s="1">
        <v>0.14068441100000001</v>
      </c>
      <c r="I96" s="1">
        <v>9.8859316000000003E-2</v>
      </c>
      <c r="J96" s="1">
        <v>0.12927756700000001</v>
      </c>
      <c r="K96" s="1">
        <v>0.11026616</v>
      </c>
      <c r="L96" s="1">
        <v>0.52091254799999998</v>
      </c>
      <c r="M96" s="1" t="s">
        <v>16</v>
      </c>
      <c r="N96" s="1" t="s">
        <v>17</v>
      </c>
    </row>
    <row r="97" spans="1:14" ht="15.75" customHeight="1">
      <c r="A97" s="1">
        <v>0.44984802400000001</v>
      </c>
      <c r="B97" s="1">
        <v>1323</v>
      </c>
      <c r="C97" s="1">
        <v>30</v>
      </c>
      <c r="D97" s="1">
        <v>4938</v>
      </c>
      <c r="E97" s="1">
        <v>56360</v>
      </c>
      <c r="F97" s="1">
        <v>56360</v>
      </c>
      <c r="G97" s="1" t="s">
        <v>23</v>
      </c>
      <c r="H97" s="1">
        <v>6.5420561000000002E-2</v>
      </c>
      <c r="I97" s="1">
        <v>3.6048063999999998E-2</v>
      </c>
      <c r="J97" s="1">
        <v>4.5393858000000002E-2</v>
      </c>
      <c r="K97" s="1">
        <v>7.6101469000000005E-2</v>
      </c>
      <c r="L97" s="1">
        <v>0.77703604800000003</v>
      </c>
      <c r="M97" s="1" t="s">
        <v>16</v>
      </c>
      <c r="N97" s="1" t="s">
        <v>17</v>
      </c>
    </row>
    <row r="98" spans="1:14" ht="15.75" customHeight="1">
      <c r="A98" s="1">
        <v>0.83014102300000003</v>
      </c>
      <c r="B98" s="1">
        <v>1207</v>
      </c>
      <c r="C98" s="1">
        <v>28</v>
      </c>
      <c r="D98" s="1">
        <v>4032</v>
      </c>
      <c r="E98" s="1">
        <v>47647</v>
      </c>
      <c r="F98" s="1">
        <v>47647</v>
      </c>
      <c r="G98" s="1" t="s">
        <v>23</v>
      </c>
      <c r="H98" s="1">
        <v>0.18526785700000001</v>
      </c>
      <c r="I98" s="1">
        <v>0.1328125</v>
      </c>
      <c r="J98" s="1">
        <v>0.14508928600000001</v>
      </c>
      <c r="K98" s="1">
        <v>0.157366071</v>
      </c>
      <c r="L98" s="1">
        <v>0.37946428599999998</v>
      </c>
      <c r="M98" s="1" t="s">
        <v>16</v>
      </c>
      <c r="N98" s="1" t="s">
        <v>17</v>
      </c>
    </row>
    <row r="99" spans="1:14" ht="15.75" customHeight="1">
      <c r="A99" s="1">
        <v>0.76996670300000003</v>
      </c>
      <c r="B99" s="1">
        <v>1212</v>
      </c>
      <c r="C99" s="1">
        <v>28</v>
      </c>
      <c r="D99" s="1">
        <v>6208</v>
      </c>
      <c r="E99" s="1">
        <v>53090</v>
      </c>
      <c r="F99" s="1">
        <v>53090</v>
      </c>
      <c r="G99" s="1" t="s">
        <v>23</v>
      </c>
      <c r="H99" s="1">
        <v>0.102540835</v>
      </c>
      <c r="I99" s="1">
        <v>6.2613429999999998E-2</v>
      </c>
      <c r="J99" s="1">
        <v>0.106170599</v>
      </c>
      <c r="K99" s="1">
        <v>0.115245009</v>
      </c>
      <c r="L99" s="1">
        <v>0.61343012699999999</v>
      </c>
      <c r="M99" s="1" t="s">
        <v>16</v>
      </c>
      <c r="N99" s="1" t="s">
        <v>17</v>
      </c>
    </row>
    <row r="100" spans="1:14" ht="15.75" customHeight="1">
      <c r="A100" s="1">
        <v>0.33520950599999999</v>
      </c>
      <c r="B100" s="1">
        <v>1396</v>
      </c>
      <c r="C100" s="1">
        <v>31</v>
      </c>
      <c r="D100" s="1">
        <v>2193</v>
      </c>
      <c r="E100" s="1">
        <v>67420</v>
      </c>
      <c r="F100" s="1">
        <v>67420</v>
      </c>
      <c r="G100" s="1" t="s">
        <v>23</v>
      </c>
      <c r="H100" s="1">
        <v>0.114285714</v>
      </c>
      <c r="I100" s="1">
        <v>0.114285714</v>
      </c>
      <c r="J100" s="1">
        <v>9.3877551000000004E-2</v>
      </c>
      <c r="K100" s="1">
        <v>0.10204081600000001</v>
      </c>
      <c r="L100" s="1">
        <v>0.57551020399999997</v>
      </c>
      <c r="M100" s="1" t="s">
        <v>16</v>
      </c>
      <c r="N100" s="1" t="s">
        <v>17</v>
      </c>
    </row>
    <row r="101" spans="1:14" ht="15.75" customHeight="1">
      <c r="A101" s="1">
        <v>0.17096551700000001</v>
      </c>
      <c r="B101" s="1">
        <v>1513</v>
      </c>
      <c r="C101" s="1">
        <v>34</v>
      </c>
      <c r="D101" s="1">
        <v>2973</v>
      </c>
      <c r="E101" s="1">
        <v>67316</v>
      </c>
      <c r="F101" s="1">
        <v>67316</v>
      </c>
      <c r="G101" s="1" t="s">
        <v>23</v>
      </c>
      <c r="H101" s="1">
        <v>0.130841121</v>
      </c>
      <c r="I101" s="1">
        <v>0.14018691599999999</v>
      </c>
      <c r="J101" s="1">
        <v>0.17757009300000001</v>
      </c>
      <c r="K101" s="1">
        <v>8.4112149999999997E-2</v>
      </c>
      <c r="L101" s="1">
        <v>0.46728972000000002</v>
      </c>
      <c r="M101" s="1" t="s">
        <v>16</v>
      </c>
      <c r="N101" s="1" t="s">
        <v>17</v>
      </c>
    </row>
    <row r="102" spans="1:14" ht="15.75" customHeight="1">
      <c r="A102" s="1">
        <v>0.60941176500000005</v>
      </c>
      <c r="B102" s="1">
        <v>857</v>
      </c>
      <c r="C102" s="1">
        <v>15</v>
      </c>
      <c r="D102" s="1">
        <v>879</v>
      </c>
      <c r="E102" s="1">
        <v>18382</v>
      </c>
      <c r="F102" s="1">
        <v>18382</v>
      </c>
      <c r="G102" s="1" t="s">
        <v>23</v>
      </c>
      <c r="H102" s="1">
        <v>0.49</v>
      </c>
      <c r="I102" s="1">
        <v>0.16</v>
      </c>
      <c r="J102" s="1">
        <v>0.16</v>
      </c>
      <c r="K102" s="1">
        <v>0.04</v>
      </c>
      <c r="L102" s="1">
        <v>0.15</v>
      </c>
      <c r="M102" s="1" t="s">
        <v>16</v>
      </c>
      <c r="N102" s="1" t="s">
        <v>17</v>
      </c>
    </row>
    <row r="103" spans="1:14" ht="15.75" customHeight="1">
      <c r="A103" s="1">
        <v>0.64102564100000003</v>
      </c>
      <c r="B103" s="1">
        <v>1045</v>
      </c>
      <c r="C103" s="1">
        <v>20</v>
      </c>
      <c r="D103" s="1">
        <v>248</v>
      </c>
      <c r="E103" s="1">
        <v>13800</v>
      </c>
      <c r="F103" s="1">
        <v>13800</v>
      </c>
      <c r="G103" s="1" t="s">
        <v>23</v>
      </c>
      <c r="H103" s="1">
        <v>0.47058823500000002</v>
      </c>
      <c r="I103" s="1">
        <v>0.117647059</v>
      </c>
      <c r="J103" s="1">
        <v>0.35294117600000002</v>
      </c>
      <c r="K103" s="1">
        <v>5.8823528999999999E-2</v>
      </c>
      <c r="L103" s="1">
        <v>0</v>
      </c>
      <c r="M103" s="1" t="s">
        <v>16</v>
      </c>
      <c r="N103" s="1" t="s">
        <v>17</v>
      </c>
    </row>
    <row r="104" spans="1:14" ht="15.75" customHeight="1">
      <c r="A104" s="1">
        <v>0.99853886599999997</v>
      </c>
      <c r="B104" s="1">
        <v>913</v>
      </c>
      <c r="C104" s="1">
        <v>16</v>
      </c>
      <c r="D104" s="1">
        <v>2414</v>
      </c>
      <c r="E104" s="1">
        <v>14794</v>
      </c>
      <c r="F104" s="1">
        <v>14794</v>
      </c>
      <c r="G104" s="1" t="s">
        <v>23</v>
      </c>
      <c r="H104" s="1">
        <v>0.514444444</v>
      </c>
      <c r="I104" s="1">
        <v>0.236666667</v>
      </c>
      <c r="J104" s="1">
        <v>0.13666666699999999</v>
      </c>
      <c r="K104" s="1">
        <v>5.7777778000000002E-2</v>
      </c>
      <c r="L104" s="1">
        <v>5.4444444000000002E-2</v>
      </c>
      <c r="M104" s="1" t="s">
        <v>16</v>
      </c>
      <c r="N104" s="1" t="s">
        <v>17</v>
      </c>
    </row>
    <row r="105" spans="1:14" ht="15.75" customHeight="1">
      <c r="A105" s="1">
        <v>0.73946957899999999</v>
      </c>
      <c r="B105" s="1">
        <v>1136</v>
      </c>
      <c r="C105" s="1">
        <v>24</v>
      </c>
      <c r="D105" s="1">
        <v>2820</v>
      </c>
      <c r="E105" s="1">
        <v>42950</v>
      </c>
      <c r="F105" s="1">
        <v>42950</v>
      </c>
      <c r="G105" s="1" t="s">
        <v>23</v>
      </c>
      <c r="H105" s="1">
        <v>0.24802110799999999</v>
      </c>
      <c r="I105" s="1">
        <v>0.160949868</v>
      </c>
      <c r="J105" s="1">
        <v>0.147757256</v>
      </c>
      <c r="K105" s="1">
        <v>0.13720316599999999</v>
      </c>
      <c r="L105" s="1">
        <v>0.30606860200000002</v>
      </c>
      <c r="M105" s="1" t="s">
        <v>16</v>
      </c>
      <c r="N105" s="1" t="s">
        <v>17</v>
      </c>
    </row>
    <row r="106" spans="1:14" ht="15.75" customHeight="1">
      <c r="A106" s="1">
        <v>0.78687821599999996</v>
      </c>
      <c r="B106" s="1">
        <v>1256</v>
      </c>
      <c r="C106" s="1">
        <v>26</v>
      </c>
      <c r="D106" s="1">
        <v>1984</v>
      </c>
      <c r="E106" s="1">
        <v>50374</v>
      </c>
      <c r="F106" s="1">
        <v>50374</v>
      </c>
      <c r="G106" s="1" t="s">
        <v>23</v>
      </c>
      <c r="H106" s="1">
        <v>0.143292683</v>
      </c>
      <c r="I106" s="1">
        <v>9.7560975999999994E-2</v>
      </c>
      <c r="J106" s="1">
        <v>0.15548780500000001</v>
      </c>
      <c r="K106" s="1">
        <v>0.16768292700000001</v>
      </c>
      <c r="L106" s="1">
        <v>0.43597561000000001</v>
      </c>
      <c r="M106" s="1" t="s">
        <v>16</v>
      </c>
      <c r="N106" s="1" t="s">
        <v>17</v>
      </c>
    </row>
    <row r="107" spans="1:14" ht="15.75" customHeight="1">
      <c r="A107" s="1">
        <v>0.67846353000000004</v>
      </c>
      <c r="B107" s="1">
        <v>1256</v>
      </c>
      <c r="C107" s="1">
        <v>27</v>
      </c>
      <c r="D107" s="1">
        <v>7535</v>
      </c>
      <c r="E107" s="1">
        <v>42304</v>
      </c>
      <c r="F107" s="1">
        <v>42304</v>
      </c>
      <c r="G107" s="1" t="s">
        <v>23</v>
      </c>
      <c r="H107" s="1">
        <v>0.16553067199999999</v>
      </c>
      <c r="I107" s="1">
        <v>0.108081792</v>
      </c>
      <c r="J107" s="1">
        <v>0.122687439</v>
      </c>
      <c r="K107" s="1">
        <v>0.15579357399999999</v>
      </c>
      <c r="L107" s="1">
        <v>0.44790652399999997</v>
      </c>
      <c r="M107" s="1" t="s">
        <v>16</v>
      </c>
      <c r="N107" s="1" t="s">
        <v>17</v>
      </c>
    </row>
    <row r="108" spans="1:14" ht="15.75" customHeight="1">
      <c r="A108" s="1">
        <v>0.78090397499999997</v>
      </c>
      <c r="B108" s="1">
        <v>1099</v>
      </c>
      <c r="C108" s="1">
        <v>22</v>
      </c>
      <c r="D108" s="1">
        <v>2404</v>
      </c>
      <c r="E108" s="1">
        <v>26610</v>
      </c>
      <c r="F108" s="1">
        <v>26610</v>
      </c>
      <c r="G108" s="1" t="s">
        <v>23</v>
      </c>
      <c r="H108" s="1">
        <v>0.18287937700000001</v>
      </c>
      <c r="I108" s="1">
        <v>0.118677043</v>
      </c>
      <c r="J108" s="1">
        <v>0.13813229599999999</v>
      </c>
      <c r="K108" s="1">
        <v>0.18093385200000001</v>
      </c>
      <c r="L108" s="1">
        <v>0.37937743200000001</v>
      </c>
      <c r="M108" s="1" t="s">
        <v>16</v>
      </c>
      <c r="N108" s="1" t="s">
        <v>17</v>
      </c>
    </row>
    <row r="109" spans="1:14" ht="15.75" customHeight="1">
      <c r="A109" s="1">
        <v>0.66449511400000005</v>
      </c>
      <c r="B109" s="1">
        <v>1068</v>
      </c>
      <c r="C109" s="1">
        <v>19</v>
      </c>
      <c r="D109" s="1">
        <v>589</v>
      </c>
      <c r="E109" s="1">
        <v>18920</v>
      </c>
      <c r="F109" s="1">
        <v>18920</v>
      </c>
      <c r="G109" s="1" t="s">
        <v>23</v>
      </c>
      <c r="H109" s="1">
        <v>0.133333333</v>
      </c>
      <c r="I109" s="1">
        <v>0.12222222200000001</v>
      </c>
      <c r="J109" s="1">
        <v>0.222222222</v>
      </c>
      <c r="K109" s="1">
        <v>0.177777778</v>
      </c>
      <c r="L109" s="1">
        <v>0.34444444400000002</v>
      </c>
      <c r="M109" s="1" t="s">
        <v>16</v>
      </c>
      <c r="N109" s="1" t="s">
        <v>17</v>
      </c>
    </row>
    <row r="110" spans="1:14" ht="15.75" customHeight="1">
      <c r="A110" s="1">
        <v>0.623034949</v>
      </c>
      <c r="B110" s="1">
        <v>1213</v>
      </c>
      <c r="C110" s="1">
        <v>25</v>
      </c>
      <c r="D110" s="1">
        <v>3235</v>
      </c>
      <c r="E110" s="1">
        <v>44360</v>
      </c>
      <c r="F110" s="1">
        <v>44360</v>
      </c>
      <c r="G110" s="1" t="s">
        <v>23</v>
      </c>
      <c r="H110" s="1">
        <v>0.18101545299999999</v>
      </c>
      <c r="I110" s="1">
        <v>8.6092715E-2</v>
      </c>
      <c r="J110" s="1">
        <v>0.15452538599999999</v>
      </c>
      <c r="K110" s="1">
        <v>0.143487859</v>
      </c>
      <c r="L110" s="1">
        <v>0.43487858699999998</v>
      </c>
      <c r="M110" s="1" t="s">
        <v>16</v>
      </c>
      <c r="N110" s="1" t="s">
        <v>17</v>
      </c>
    </row>
    <row r="111" spans="1:14" ht="15.75" customHeight="1">
      <c r="A111" s="1">
        <v>0.59067500500000003</v>
      </c>
      <c r="B111" s="1">
        <v>1263</v>
      </c>
      <c r="C111" s="1">
        <v>27</v>
      </c>
      <c r="D111" s="1">
        <v>2607</v>
      </c>
      <c r="E111" s="1">
        <v>42360</v>
      </c>
      <c r="F111" s="1">
        <v>42360</v>
      </c>
      <c r="G111" s="1" t="s">
        <v>23</v>
      </c>
      <c r="H111" s="1">
        <v>0.19381443300000001</v>
      </c>
      <c r="I111" s="1">
        <v>0.115463918</v>
      </c>
      <c r="J111" s="1">
        <v>0.14020618600000001</v>
      </c>
      <c r="K111" s="1">
        <v>0.15876288699999999</v>
      </c>
      <c r="L111" s="1">
        <v>0.39175257699999999</v>
      </c>
      <c r="M111" s="1" t="s">
        <v>16</v>
      </c>
      <c r="N111" s="1" t="s">
        <v>17</v>
      </c>
    </row>
    <row r="112" spans="1:14" ht="15.75" customHeight="1">
      <c r="A112" s="1">
        <v>0.572924879</v>
      </c>
      <c r="B112" s="1">
        <v>1211</v>
      </c>
      <c r="C112" s="1">
        <v>26</v>
      </c>
      <c r="D112" s="1">
        <v>2649</v>
      </c>
      <c r="E112" s="1">
        <v>46180</v>
      </c>
      <c r="F112" s="1">
        <v>46180</v>
      </c>
      <c r="G112" s="1" t="s">
        <v>23</v>
      </c>
      <c r="H112" s="1">
        <v>0.25110132200000002</v>
      </c>
      <c r="I112" s="1">
        <v>0.14096916300000001</v>
      </c>
      <c r="J112" s="1">
        <v>0.16960352400000001</v>
      </c>
      <c r="K112" s="1">
        <v>9.4713655999999993E-2</v>
      </c>
      <c r="L112" s="1">
        <v>0.34361233499999999</v>
      </c>
      <c r="M112" s="1" t="s">
        <v>16</v>
      </c>
      <c r="N112" s="1" t="s">
        <v>17</v>
      </c>
    </row>
    <row r="113" spans="1:14" ht="15.75" customHeight="1">
      <c r="A113" s="1">
        <v>0.72668974500000005</v>
      </c>
      <c r="B113" s="1">
        <v>1182</v>
      </c>
      <c r="C113" s="1">
        <v>24</v>
      </c>
      <c r="D113" s="1">
        <v>7171</v>
      </c>
      <c r="E113" s="1">
        <v>37080</v>
      </c>
      <c r="F113" s="1">
        <v>37080</v>
      </c>
      <c r="G113" s="1" t="s">
        <v>23</v>
      </c>
      <c r="H113" s="1">
        <v>0.3354531</v>
      </c>
      <c r="I113" s="1">
        <v>0.16613672500000001</v>
      </c>
      <c r="J113" s="1">
        <v>0.149443561</v>
      </c>
      <c r="K113" s="1">
        <v>9.3004769000000001E-2</v>
      </c>
      <c r="L113" s="1">
        <v>0.25596184399999999</v>
      </c>
      <c r="M113" s="1" t="s">
        <v>16</v>
      </c>
      <c r="N113" s="1" t="s">
        <v>17</v>
      </c>
    </row>
    <row r="114" spans="1:14" ht="15.75" customHeight="1">
      <c r="A114" s="1">
        <v>0.88324409000000004</v>
      </c>
      <c r="B114" s="1">
        <v>1101</v>
      </c>
      <c r="C114" s="1">
        <v>22</v>
      </c>
      <c r="D114" s="1">
        <v>2427</v>
      </c>
      <c r="E114" s="1">
        <v>37990</v>
      </c>
      <c r="F114" s="1">
        <v>37990</v>
      </c>
      <c r="G114" s="1" t="s">
        <v>23</v>
      </c>
      <c r="H114" s="1">
        <v>0.23842592600000001</v>
      </c>
      <c r="I114" s="1">
        <v>0.127314815</v>
      </c>
      <c r="J114" s="1">
        <v>0.15046296300000001</v>
      </c>
      <c r="K114" s="1">
        <v>0.17129629599999999</v>
      </c>
      <c r="L114" s="1">
        <v>0.3125</v>
      </c>
      <c r="M114" s="1" t="s">
        <v>16</v>
      </c>
      <c r="N114" s="1" t="s">
        <v>17</v>
      </c>
    </row>
    <row r="115" spans="1:14" ht="15.75" customHeight="1">
      <c r="A115" s="1">
        <v>0.40557370399999998</v>
      </c>
      <c r="B115" s="1">
        <v>1304</v>
      </c>
      <c r="C115" s="1">
        <v>28</v>
      </c>
      <c r="D115" s="1">
        <v>2582</v>
      </c>
      <c r="E115" s="1">
        <v>58300</v>
      </c>
      <c r="F115" s="1">
        <v>58300</v>
      </c>
      <c r="G115" s="1" t="s">
        <v>23</v>
      </c>
      <c r="H115" s="1">
        <v>0.17704918</v>
      </c>
      <c r="I115" s="1">
        <v>0.121311475</v>
      </c>
      <c r="J115" s="1">
        <v>0.14754098399999999</v>
      </c>
      <c r="K115" s="1">
        <v>0.15409836099999999</v>
      </c>
      <c r="L115" s="1">
        <v>0.4</v>
      </c>
      <c r="M115" s="1" t="s">
        <v>16</v>
      </c>
      <c r="N115" s="1" t="s">
        <v>17</v>
      </c>
    </row>
    <row r="116" spans="1:14" ht="15.75" customHeight="1">
      <c r="A116" s="1">
        <v>0.86426380400000002</v>
      </c>
      <c r="B116" s="1">
        <v>1208</v>
      </c>
      <c r="C116" s="1">
        <v>26</v>
      </c>
      <c r="D116" s="1">
        <v>2292</v>
      </c>
      <c r="E116" s="1">
        <v>55220</v>
      </c>
      <c r="F116" s="1">
        <v>55220</v>
      </c>
      <c r="G116" s="1" t="s">
        <v>23</v>
      </c>
      <c r="H116" s="1">
        <v>0.35152838400000003</v>
      </c>
      <c r="I116" s="1">
        <v>0.152838428</v>
      </c>
      <c r="J116" s="1">
        <v>0.16812227099999999</v>
      </c>
      <c r="K116" s="1">
        <v>0.148471616</v>
      </c>
      <c r="L116" s="1">
        <v>0.17903930100000001</v>
      </c>
      <c r="M116" s="1" t="s">
        <v>16</v>
      </c>
      <c r="N116" s="1" t="s">
        <v>17</v>
      </c>
    </row>
    <row r="117" spans="1:14" ht="15.75" customHeight="1">
      <c r="A117" s="1">
        <v>0.625</v>
      </c>
      <c r="B117" s="1">
        <v>1007</v>
      </c>
      <c r="C117" s="1">
        <v>20</v>
      </c>
      <c r="D117" s="1">
        <v>363</v>
      </c>
      <c r="E117" s="1">
        <v>14300</v>
      </c>
      <c r="F117" s="1">
        <v>14300</v>
      </c>
      <c r="G117" s="1" t="s">
        <v>23</v>
      </c>
      <c r="H117" s="1">
        <v>0.21739130400000001</v>
      </c>
      <c r="I117" s="1">
        <v>0.130434783</v>
      </c>
      <c r="J117" s="1">
        <v>0.231884058</v>
      </c>
      <c r="K117" s="1">
        <v>0.18840579700000001</v>
      </c>
      <c r="L117" s="1">
        <v>0.231884058</v>
      </c>
      <c r="M117" s="1" t="s">
        <v>16</v>
      </c>
      <c r="N117" s="1" t="s">
        <v>17</v>
      </c>
    </row>
    <row r="118" spans="1:14" ht="15.75" customHeight="1">
      <c r="A118" s="1">
        <v>0.96296296299999995</v>
      </c>
      <c r="B118" s="1">
        <v>905</v>
      </c>
      <c r="C118" s="1">
        <v>17</v>
      </c>
      <c r="D118" s="1">
        <v>187</v>
      </c>
      <c r="E118" s="1">
        <v>16300</v>
      </c>
      <c r="F118" s="1">
        <v>16300</v>
      </c>
      <c r="G118" s="1" t="s">
        <v>23</v>
      </c>
      <c r="H118" s="1">
        <v>0.34375</v>
      </c>
      <c r="I118" s="1">
        <v>0.125</v>
      </c>
      <c r="J118" s="1">
        <v>0.15625</v>
      </c>
      <c r="K118" s="1">
        <v>0.15625</v>
      </c>
      <c r="L118" s="1">
        <v>0.21875</v>
      </c>
      <c r="M118" s="1" t="s">
        <v>16</v>
      </c>
      <c r="N118" s="1" t="s">
        <v>17</v>
      </c>
    </row>
    <row r="119" spans="1:14" ht="15.75" customHeight="1">
      <c r="A119" s="1">
        <v>0.47788697800000002</v>
      </c>
      <c r="B119" s="1">
        <v>937</v>
      </c>
      <c r="C119" s="1">
        <v>17</v>
      </c>
      <c r="D119" s="1">
        <v>753</v>
      </c>
      <c r="E119" s="1">
        <v>28160</v>
      </c>
      <c r="F119" s="1">
        <v>28160</v>
      </c>
      <c r="G119" s="1" t="s">
        <v>23</v>
      </c>
      <c r="H119" s="1">
        <v>0.47619047599999997</v>
      </c>
      <c r="I119" s="1">
        <v>0.15238095199999999</v>
      </c>
      <c r="J119" s="1">
        <v>0.10952381</v>
      </c>
      <c r="K119" s="1">
        <v>0.123809524</v>
      </c>
      <c r="L119" s="1">
        <v>0.13809523800000001</v>
      </c>
      <c r="M119" s="1" t="s">
        <v>16</v>
      </c>
      <c r="N119" s="1" t="s">
        <v>17</v>
      </c>
    </row>
    <row r="120" spans="1:14" ht="15.75" customHeight="1">
      <c r="A120" s="1">
        <v>0.67312870199999997</v>
      </c>
      <c r="B120" s="1">
        <v>1296</v>
      </c>
      <c r="C120" s="1">
        <v>29</v>
      </c>
      <c r="D120" s="1">
        <v>898</v>
      </c>
      <c r="E120" s="1">
        <v>48150</v>
      </c>
      <c r="F120" s="1">
        <v>48150</v>
      </c>
      <c r="G120" s="1" t="s">
        <v>23</v>
      </c>
      <c r="H120" s="1">
        <v>0.18918918900000001</v>
      </c>
      <c r="I120" s="1">
        <v>0.21621621599999999</v>
      </c>
      <c r="J120" s="1">
        <v>0.18918918900000001</v>
      </c>
      <c r="K120" s="1">
        <v>0.124324324</v>
      </c>
      <c r="L120" s="1">
        <v>0.28108108100000001</v>
      </c>
      <c r="M120" s="1" t="s">
        <v>16</v>
      </c>
      <c r="N120" s="1" t="s">
        <v>17</v>
      </c>
    </row>
    <row r="121" spans="1:14" ht="15.75" customHeight="1">
      <c r="A121" s="1">
        <v>0.675076923</v>
      </c>
      <c r="B121" s="1">
        <v>1059</v>
      </c>
      <c r="C121" s="1">
        <v>19</v>
      </c>
      <c r="D121" s="1">
        <v>2617</v>
      </c>
      <c r="E121" s="1">
        <v>22300</v>
      </c>
      <c r="F121" s="1">
        <v>22300</v>
      </c>
      <c r="G121" s="1" t="s">
        <v>23</v>
      </c>
      <c r="H121" s="1">
        <v>0.44444444399999999</v>
      </c>
      <c r="I121" s="1">
        <v>0.159722222</v>
      </c>
      <c r="J121" s="1">
        <v>0.159722222</v>
      </c>
      <c r="K121" s="1">
        <v>5.5555555999999999E-2</v>
      </c>
      <c r="L121" s="1">
        <v>0.18055555600000001</v>
      </c>
      <c r="M121" s="1" t="s">
        <v>16</v>
      </c>
      <c r="N121" s="1" t="s">
        <v>17</v>
      </c>
    </row>
    <row r="122" spans="1:14" ht="15.75" customHeight="1">
      <c r="A122" s="1">
        <v>0.61852481800000003</v>
      </c>
      <c r="B122" s="1">
        <v>1223</v>
      </c>
      <c r="C122" s="1">
        <v>26</v>
      </c>
      <c r="D122" s="1">
        <v>2213</v>
      </c>
      <c r="E122" s="1">
        <v>40416</v>
      </c>
      <c r="F122" s="1">
        <v>40416</v>
      </c>
      <c r="G122" s="1" t="s">
        <v>23</v>
      </c>
      <c r="H122" s="1">
        <v>0.19553072599999999</v>
      </c>
      <c r="I122" s="1">
        <v>0.136871508</v>
      </c>
      <c r="J122" s="1">
        <v>0.15363128500000001</v>
      </c>
      <c r="K122" s="1">
        <v>0.17039106100000001</v>
      </c>
      <c r="L122" s="1">
        <v>0.34357541899999999</v>
      </c>
      <c r="M122" s="1" t="s">
        <v>16</v>
      </c>
      <c r="N122" s="1" t="s">
        <v>17</v>
      </c>
    </row>
    <row r="123" spans="1:14" ht="15.75" customHeight="1">
      <c r="A123" s="1">
        <v>0.86961245899999995</v>
      </c>
      <c r="B123" s="1">
        <v>1087</v>
      </c>
      <c r="C123" s="1">
        <v>22</v>
      </c>
      <c r="D123" s="1">
        <v>981</v>
      </c>
      <c r="E123" s="1">
        <v>33275</v>
      </c>
      <c r="F123" s="1">
        <v>33275</v>
      </c>
      <c r="G123" s="1" t="s">
        <v>23</v>
      </c>
      <c r="H123" s="1">
        <v>0.28205128200000001</v>
      </c>
      <c r="I123" s="1">
        <v>0.18974358999999999</v>
      </c>
      <c r="J123" s="1">
        <v>0.15897435900000001</v>
      </c>
      <c r="K123" s="1">
        <v>0.138461538</v>
      </c>
      <c r="L123" s="1">
        <v>0.23076923099999999</v>
      </c>
      <c r="M123" s="1" t="s">
        <v>16</v>
      </c>
      <c r="N123" s="1" t="s">
        <v>17</v>
      </c>
    </row>
    <row r="124" spans="1:14" ht="15.75" customHeight="1">
      <c r="A124" s="1">
        <v>0.81757656499999998</v>
      </c>
      <c r="B124" s="1">
        <v>1254</v>
      </c>
      <c r="C124" s="1">
        <v>26</v>
      </c>
      <c r="D124" s="1">
        <v>858</v>
      </c>
      <c r="E124" s="1">
        <v>40464</v>
      </c>
      <c r="F124" s="1">
        <v>40464</v>
      </c>
      <c r="G124" s="1" t="s">
        <v>23</v>
      </c>
      <c r="H124" s="1">
        <v>0.12686567200000001</v>
      </c>
      <c r="I124" s="1">
        <v>5.9701493000000001E-2</v>
      </c>
      <c r="J124" s="1">
        <v>0.194029851</v>
      </c>
      <c r="K124" s="1">
        <v>0.201492537</v>
      </c>
      <c r="L124" s="1">
        <v>0.41791044799999999</v>
      </c>
      <c r="M124" s="1" t="s">
        <v>16</v>
      </c>
      <c r="N124" s="1" t="s">
        <v>17</v>
      </c>
    </row>
    <row r="125" spans="1:14" ht="15.75" customHeight="1">
      <c r="A125" s="1">
        <v>0.93811881200000002</v>
      </c>
      <c r="B125" s="1">
        <v>994</v>
      </c>
      <c r="C125" s="1">
        <v>17</v>
      </c>
      <c r="D125" s="1">
        <v>869</v>
      </c>
      <c r="E125" s="1">
        <v>15036</v>
      </c>
      <c r="F125" s="1">
        <v>15036</v>
      </c>
      <c r="G125" s="1" t="s">
        <v>23</v>
      </c>
      <c r="H125" s="1">
        <v>0.37837837800000002</v>
      </c>
      <c r="I125" s="1">
        <v>0.17117117100000001</v>
      </c>
      <c r="J125" s="1">
        <v>0.15315315299999999</v>
      </c>
      <c r="K125" s="1">
        <v>0.12612612600000001</v>
      </c>
      <c r="L125" s="1">
        <v>0.17117117100000001</v>
      </c>
      <c r="M125" s="1" t="s">
        <v>16</v>
      </c>
      <c r="N125" s="1" t="s">
        <v>17</v>
      </c>
    </row>
    <row r="126" spans="1:14" ht="15.75" customHeight="1">
      <c r="A126" s="1">
        <v>0.66458672500000004</v>
      </c>
      <c r="B126" s="1">
        <v>1280</v>
      </c>
      <c r="C126" s="1">
        <v>28</v>
      </c>
      <c r="D126" s="1">
        <v>4620</v>
      </c>
      <c r="E126" s="1">
        <v>40890</v>
      </c>
      <c r="F126" s="1">
        <v>40890</v>
      </c>
      <c r="G126" s="1" t="s">
        <v>23</v>
      </c>
      <c r="H126" s="1">
        <v>0.25581395299999998</v>
      </c>
      <c r="I126" s="1">
        <v>0.18181818199999999</v>
      </c>
      <c r="J126" s="1">
        <v>0.192389006</v>
      </c>
      <c r="K126" s="1">
        <v>0.192389006</v>
      </c>
      <c r="L126" s="1">
        <v>0.17758985199999999</v>
      </c>
      <c r="M126" s="1" t="s">
        <v>16</v>
      </c>
      <c r="N126" s="1" t="s">
        <v>17</v>
      </c>
    </row>
    <row r="127" spans="1:14" ht="15.75" customHeight="1">
      <c r="A127" s="1">
        <v>0.51390374299999997</v>
      </c>
      <c r="B127" s="1">
        <v>1050</v>
      </c>
      <c r="C127" s="1">
        <v>20</v>
      </c>
      <c r="D127" s="1">
        <v>2736</v>
      </c>
      <c r="E127" s="1">
        <v>31725</v>
      </c>
      <c r="F127" s="1">
        <v>31725</v>
      </c>
      <c r="G127" s="1" t="s">
        <v>23</v>
      </c>
      <c r="H127" s="1">
        <v>0.26294820699999999</v>
      </c>
      <c r="I127" s="1">
        <v>0.21513944199999999</v>
      </c>
      <c r="J127" s="1">
        <v>0.17928286900000001</v>
      </c>
      <c r="K127" s="1">
        <v>0.111553785</v>
      </c>
      <c r="L127" s="1">
        <v>0.231075697</v>
      </c>
      <c r="M127" s="1" t="s">
        <v>16</v>
      </c>
      <c r="N127" s="1" t="s">
        <v>17</v>
      </c>
    </row>
    <row r="128" spans="1:14" ht="15.75" customHeight="1">
      <c r="A128" s="1">
        <v>0.60056061699999996</v>
      </c>
      <c r="B128" s="1">
        <v>1230</v>
      </c>
      <c r="C128" s="1">
        <v>27</v>
      </c>
      <c r="D128" s="1">
        <v>1429</v>
      </c>
      <c r="E128" s="1">
        <v>45806</v>
      </c>
      <c r="F128" s="1">
        <v>45806</v>
      </c>
      <c r="G128" s="1" t="s">
        <v>23</v>
      </c>
      <c r="H128" s="1">
        <v>0.21489971299999999</v>
      </c>
      <c r="I128" s="1">
        <v>0.13180515800000001</v>
      </c>
      <c r="J128" s="1">
        <v>0.106017192</v>
      </c>
      <c r="K128" s="1">
        <v>0.140401146</v>
      </c>
      <c r="L128" s="1">
        <v>0.40687679100000002</v>
      </c>
      <c r="M128" s="1" t="s">
        <v>16</v>
      </c>
      <c r="N128" s="1" t="s">
        <v>17</v>
      </c>
    </row>
    <row r="129" spans="1:14" ht="15.75" customHeight="1">
      <c r="A129" s="1">
        <v>0.92836398799999997</v>
      </c>
      <c r="B129" s="1">
        <v>1074</v>
      </c>
      <c r="C129" s="1">
        <v>20</v>
      </c>
      <c r="D129" s="1">
        <v>1235</v>
      </c>
      <c r="E129" s="1">
        <v>30680</v>
      </c>
      <c r="F129" s="1">
        <v>30680</v>
      </c>
      <c r="G129" s="1" t="s">
        <v>23</v>
      </c>
      <c r="H129" s="1">
        <v>0.154506438</v>
      </c>
      <c r="I129" s="1">
        <v>0.17596566499999999</v>
      </c>
      <c r="J129" s="1">
        <v>0.141630901</v>
      </c>
      <c r="K129" s="1">
        <v>0.17596566499999999</v>
      </c>
      <c r="L129" s="1">
        <v>0.35193132999999999</v>
      </c>
      <c r="M129" s="1" t="s">
        <v>16</v>
      </c>
      <c r="N129" s="1" t="s">
        <v>17</v>
      </c>
    </row>
    <row r="130" spans="1:14" ht="15.75" customHeight="1">
      <c r="A130" s="1">
        <v>0.83684950800000002</v>
      </c>
      <c r="B130" s="1">
        <v>1178</v>
      </c>
      <c r="C130" s="1">
        <v>24</v>
      </c>
      <c r="D130" s="1">
        <v>14423</v>
      </c>
      <c r="E130" s="1">
        <v>40595</v>
      </c>
      <c r="F130" s="1">
        <v>40595</v>
      </c>
      <c r="G130" s="1" t="s">
        <v>23</v>
      </c>
      <c r="H130" s="1">
        <v>0.197975965</v>
      </c>
      <c r="I130" s="1">
        <v>0.12397217000000001</v>
      </c>
      <c r="J130" s="1">
        <v>0.13725490200000001</v>
      </c>
      <c r="K130" s="1">
        <v>0.14611005699999999</v>
      </c>
      <c r="L130" s="1">
        <v>0.39468690699999998</v>
      </c>
      <c r="M130" s="1" t="s">
        <v>16</v>
      </c>
      <c r="N130" s="1" t="s">
        <v>17</v>
      </c>
    </row>
    <row r="131" spans="1:14" ht="15.75" customHeight="1">
      <c r="A131" s="1">
        <v>0.969348659</v>
      </c>
      <c r="B131" s="1">
        <v>1075</v>
      </c>
      <c r="C131" s="1">
        <v>22</v>
      </c>
      <c r="D131" s="1">
        <v>1091</v>
      </c>
      <c r="E131" s="1">
        <v>24044</v>
      </c>
      <c r="F131" s="1">
        <v>24044</v>
      </c>
      <c r="G131" s="1" t="s">
        <v>23</v>
      </c>
      <c r="H131" s="1">
        <v>0.33009708700000001</v>
      </c>
      <c r="I131" s="1">
        <v>0.17961165000000001</v>
      </c>
      <c r="J131" s="1">
        <v>0.16990291299999999</v>
      </c>
      <c r="K131" s="1">
        <v>0.14077669900000001</v>
      </c>
      <c r="L131" s="1">
        <v>0.17961165000000001</v>
      </c>
      <c r="M131" s="1" t="s">
        <v>16</v>
      </c>
      <c r="N131" s="1" t="s">
        <v>17</v>
      </c>
    </row>
    <row r="132" spans="1:14" ht="15.75" customHeight="1">
      <c r="A132" s="1">
        <v>0.34090480699999998</v>
      </c>
      <c r="B132" s="1">
        <v>1184</v>
      </c>
      <c r="C132" s="1">
        <v>24</v>
      </c>
      <c r="D132" s="1">
        <v>3633</v>
      </c>
      <c r="E132" s="1">
        <v>30058</v>
      </c>
      <c r="F132" s="1">
        <v>30058</v>
      </c>
      <c r="G132" s="1" t="s">
        <v>23</v>
      </c>
      <c r="H132" s="1">
        <v>0.18415841599999999</v>
      </c>
      <c r="I132" s="1">
        <v>0.120792079</v>
      </c>
      <c r="J132" s="1">
        <v>0.14653465299999999</v>
      </c>
      <c r="K132" s="1">
        <v>0.15643564400000001</v>
      </c>
      <c r="L132" s="1">
        <v>0.39207920800000001</v>
      </c>
      <c r="M132" s="1" t="s">
        <v>16</v>
      </c>
      <c r="N132" s="1" t="s">
        <v>17</v>
      </c>
    </row>
    <row r="133" spans="1:14" ht="15.75" customHeight="1">
      <c r="A133" s="1">
        <v>0.43155893499999998</v>
      </c>
      <c r="B133" s="1">
        <v>1037</v>
      </c>
      <c r="C133" s="1">
        <v>20</v>
      </c>
      <c r="D133" s="1">
        <v>813</v>
      </c>
      <c r="E133" s="1">
        <v>11640</v>
      </c>
      <c r="F133" s="1">
        <v>11640</v>
      </c>
      <c r="G133" s="1" t="s">
        <v>23</v>
      </c>
      <c r="H133" s="1">
        <v>0.157142857</v>
      </c>
      <c r="I133" s="1">
        <v>0.31428571399999999</v>
      </c>
      <c r="J133" s="1">
        <v>0.44285714300000001</v>
      </c>
      <c r="K133" s="1">
        <v>8.5714286000000001E-2</v>
      </c>
      <c r="L133" s="1">
        <v>0</v>
      </c>
      <c r="M133" s="1" t="s">
        <v>16</v>
      </c>
      <c r="N133" s="1" t="s">
        <v>17</v>
      </c>
    </row>
    <row r="134" spans="1:14" ht="15.75" customHeight="1">
      <c r="A134" s="1">
        <v>0.63812785400000005</v>
      </c>
      <c r="B134" s="1">
        <v>1155</v>
      </c>
      <c r="C134" s="1">
        <v>24</v>
      </c>
      <c r="D134" s="1">
        <v>820</v>
      </c>
      <c r="E134" s="1">
        <v>23250</v>
      </c>
      <c r="F134" s="1">
        <v>23250</v>
      </c>
      <c r="G134" s="1" t="s">
        <v>23</v>
      </c>
      <c r="H134" s="1">
        <v>0.210843373</v>
      </c>
      <c r="I134" s="1">
        <v>0.102409639</v>
      </c>
      <c r="J134" s="1">
        <v>0.289156627</v>
      </c>
      <c r="K134" s="1">
        <v>0.35542168699999999</v>
      </c>
      <c r="L134" s="1">
        <v>4.2168675000000003E-2</v>
      </c>
      <c r="M134" s="1" t="s">
        <v>16</v>
      </c>
      <c r="N134" s="1" t="s">
        <v>17</v>
      </c>
    </row>
    <row r="135" spans="1:14" ht="15.75" customHeight="1">
      <c r="A135" s="1">
        <v>0.84482047000000005</v>
      </c>
      <c r="B135" s="1">
        <v>1180</v>
      </c>
      <c r="C135" s="1">
        <v>25</v>
      </c>
      <c r="D135" s="1">
        <v>2502</v>
      </c>
      <c r="E135" s="1">
        <v>33020</v>
      </c>
      <c r="F135" s="1">
        <v>33020</v>
      </c>
      <c r="G135" s="1" t="s">
        <v>23</v>
      </c>
      <c r="H135" s="1">
        <v>0.234375</v>
      </c>
      <c r="I135" s="1">
        <v>0.15885416699999999</v>
      </c>
      <c r="J135" s="1">
        <v>0.17708333300000001</v>
      </c>
      <c r="K135" s="1">
        <v>0.119791667</v>
      </c>
      <c r="L135" s="1">
        <v>0.30989583300000001</v>
      </c>
      <c r="M135" s="1" t="s">
        <v>16</v>
      </c>
      <c r="N135" s="1" t="s">
        <v>17</v>
      </c>
    </row>
    <row r="136" spans="1:14" ht="15.75" customHeight="1">
      <c r="A136" s="1">
        <v>0.47221612099999999</v>
      </c>
      <c r="B136" s="1">
        <v>1166</v>
      </c>
      <c r="C136" s="1">
        <v>24</v>
      </c>
      <c r="D136" s="1">
        <v>1049</v>
      </c>
      <c r="E136" s="1">
        <v>36030</v>
      </c>
      <c r="F136" s="1">
        <v>36030</v>
      </c>
      <c r="G136" s="1" t="s">
        <v>23</v>
      </c>
      <c r="H136" s="1">
        <v>0.170886076</v>
      </c>
      <c r="I136" s="1">
        <v>0.12658227799999999</v>
      </c>
      <c r="J136" s="1">
        <v>0.20253164600000001</v>
      </c>
      <c r="K136" s="1">
        <v>0.12658227799999999</v>
      </c>
      <c r="L136" s="1">
        <v>0.37341772200000001</v>
      </c>
      <c r="M136" s="1" t="s">
        <v>16</v>
      </c>
      <c r="N136" s="1" t="s">
        <v>17</v>
      </c>
    </row>
    <row r="137" spans="1:14" ht="15.75" customHeight="1">
      <c r="A137" s="1">
        <v>0.62951554200000004</v>
      </c>
      <c r="B137" s="1">
        <v>1184</v>
      </c>
      <c r="C137" s="1">
        <v>28</v>
      </c>
      <c r="D137" s="1">
        <v>1138</v>
      </c>
      <c r="E137" s="1">
        <v>39370</v>
      </c>
      <c r="F137" s="1">
        <v>39370</v>
      </c>
      <c r="G137" s="1" t="s">
        <v>23</v>
      </c>
      <c r="H137" s="1">
        <v>0.106918239</v>
      </c>
      <c r="I137" s="1">
        <v>0.17610062900000001</v>
      </c>
      <c r="J137" s="1">
        <v>0.14465408799999999</v>
      </c>
      <c r="K137" s="1">
        <v>0.188679245</v>
      </c>
      <c r="L137" s="1">
        <v>0.38364779900000001</v>
      </c>
      <c r="M137" s="1" t="s">
        <v>16</v>
      </c>
      <c r="N137" s="1" t="s">
        <v>17</v>
      </c>
    </row>
    <row r="138" spans="1:14" ht="15.75" customHeight="1">
      <c r="A138" s="1">
        <v>0.96952344000000001</v>
      </c>
      <c r="B138" s="1">
        <v>1123</v>
      </c>
      <c r="C138" s="1">
        <v>23</v>
      </c>
      <c r="D138" s="1">
        <v>42090</v>
      </c>
      <c r="E138" s="1">
        <v>4656</v>
      </c>
      <c r="F138" s="1">
        <v>4656</v>
      </c>
      <c r="G138" s="1" t="s">
        <v>23</v>
      </c>
      <c r="H138" s="1">
        <v>0.21180880999999999</v>
      </c>
      <c r="I138" s="1">
        <v>0.11715088999999999</v>
      </c>
      <c r="J138" s="1">
        <v>0.23055295200000001</v>
      </c>
      <c r="K138" s="1">
        <v>0.19587628900000001</v>
      </c>
      <c r="L138" s="1">
        <v>0.24461105899999999</v>
      </c>
      <c r="M138" s="1" t="s">
        <v>16</v>
      </c>
      <c r="N138" s="1" t="s">
        <v>17</v>
      </c>
    </row>
    <row r="139" spans="1:14" ht="15.75" customHeight="1">
      <c r="A139" s="1">
        <v>0.67645474100000003</v>
      </c>
      <c r="B139" s="1">
        <v>1133</v>
      </c>
      <c r="C139" s="1">
        <v>24</v>
      </c>
      <c r="D139" s="1">
        <v>2418</v>
      </c>
      <c r="E139" s="1">
        <v>49834</v>
      </c>
      <c r="F139" s="1">
        <v>49834</v>
      </c>
      <c r="G139" s="1" t="s">
        <v>23</v>
      </c>
      <c r="H139" s="1">
        <v>0.158774373</v>
      </c>
      <c r="I139" s="1">
        <v>6.4066851999999994E-2</v>
      </c>
      <c r="J139" s="1">
        <v>0.139275766</v>
      </c>
      <c r="K139" s="1">
        <v>0.17270194999999999</v>
      </c>
      <c r="L139" s="1">
        <v>0.46518105799999998</v>
      </c>
      <c r="M139" s="1" t="s">
        <v>16</v>
      </c>
      <c r="N139" s="1" t="s">
        <v>17</v>
      </c>
    </row>
    <row r="140" spans="1:14" ht="15.75" customHeight="1">
      <c r="A140" s="1">
        <v>0.85144376899999996</v>
      </c>
      <c r="B140" s="1">
        <v>1072</v>
      </c>
      <c r="C140" s="1">
        <v>26</v>
      </c>
      <c r="D140" s="1">
        <v>4021</v>
      </c>
      <c r="E140" s="1">
        <v>28220</v>
      </c>
      <c r="F140" s="1">
        <v>28220</v>
      </c>
      <c r="G140" s="1" t="s">
        <v>23</v>
      </c>
      <c r="H140" s="1">
        <v>0.199044586</v>
      </c>
      <c r="I140" s="1">
        <v>0.170382166</v>
      </c>
      <c r="J140" s="1">
        <v>0.17993630599999999</v>
      </c>
      <c r="K140" s="1">
        <v>0.178343949</v>
      </c>
      <c r="L140" s="1">
        <v>0.27229299400000001</v>
      </c>
      <c r="M140" s="1" t="s">
        <v>16</v>
      </c>
      <c r="N140" s="1" t="s">
        <v>17</v>
      </c>
    </row>
    <row r="141" spans="1:14" ht="15.75" customHeight="1">
      <c r="A141" s="1">
        <v>0.76662063499999999</v>
      </c>
      <c r="B141" s="1">
        <v>1237</v>
      </c>
      <c r="C141" s="1">
        <v>29</v>
      </c>
      <c r="D141" s="1">
        <v>3865</v>
      </c>
      <c r="E141" s="1">
        <v>39680</v>
      </c>
      <c r="F141" s="1">
        <v>39680</v>
      </c>
      <c r="G141" s="1" t="s">
        <v>23</v>
      </c>
      <c r="H141" s="1">
        <v>0.164524422</v>
      </c>
      <c r="I141" s="1">
        <v>0.137532134</v>
      </c>
      <c r="J141" s="1">
        <v>0.164524422</v>
      </c>
      <c r="K141" s="1">
        <v>0.156812339</v>
      </c>
      <c r="L141" s="1">
        <v>0.37660668400000002</v>
      </c>
      <c r="M141" s="1" t="s">
        <v>16</v>
      </c>
      <c r="N141" s="1" t="s">
        <v>17</v>
      </c>
    </row>
    <row r="142" spans="1:14" ht="15.75" customHeight="1">
      <c r="A142" s="1">
        <v>0.73533068099999999</v>
      </c>
      <c r="B142" s="1">
        <v>1254</v>
      </c>
      <c r="C142" s="1">
        <v>28</v>
      </c>
      <c r="D142" s="1">
        <v>14283</v>
      </c>
      <c r="E142" s="1">
        <v>44460</v>
      </c>
      <c r="F142" s="1">
        <v>44460</v>
      </c>
      <c r="G142" s="1" t="s">
        <v>23</v>
      </c>
      <c r="H142" s="1">
        <v>0.21002132200000001</v>
      </c>
      <c r="I142" s="1">
        <v>0.16044776099999999</v>
      </c>
      <c r="J142" s="1">
        <v>0.16044776099999999</v>
      </c>
      <c r="K142" s="1">
        <v>0.14818763300000001</v>
      </c>
      <c r="L142" s="1">
        <v>0.32089552199999999</v>
      </c>
      <c r="M142" s="1" t="s">
        <v>16</v>
      </c>
      <c r="N142" s="1" t="s">
        <v>17</v>
      </c>
    </row>
    <row r="143" spans="1:14" ht="15.75" customHeight="1">
      <c r="A143" s="1">
        <v>0.75743524100000004</v>
      </c>
      <c r="B143" s="1">
        <v>1116</v>
      </c>
      <c r="C143" s="1">
        <v>25</v>
      </c>
      <c r="D143" s="1">
        <v>2954</v>
      </c>
      <c r="E143" s="1">
        <v>41628</v>
      </c>
      <c r="F143" s="1">
        <v>41628</v>
      </c>
      <c r="G143" s="1" t="s">
        <v>23</v>
      </c>
      <c r="H143" s="1">
        <v>0.23887587800000001</v>
      </c>
      <c r="I143" s="1">
        <v>0.177985948</v>
      </c>
      <c r="J143" s="1">
        <v>0.16627634699999999</v>
      </c>
      <c r="K143" s="1">
        <v>0.14285714299999999</v>
      </c>
      <c r="L143" s="1">
        <v>0.274004684</v>
      </c>
      <c r="M143" s="1" t="s">
        <v>16</v>
      </c>
      <c r="N143" s="1" t="s">
        <v>17</v>
      </c>
    </row>
    <row r="144" spans="1:14" ht="15.75" customHeight="1">
      <c r="A144" s="1">
        <v>0.95365278899999995</v>
      </c>
      <c r="B144" s="1">
        <v>1034</v>
      </c>
      <c r="C144" s="1">
        <v>21</v>
      </c>
      <c r="D144" s="1">
        <v>873</v>
      </c>
      <c r="E144" s="1">
        <v>30598</v>
      </c>
      <c r="F144" s="1">
        <v>30598</v>
      </c>
      <c r="G144" s="1" t="s">
        <v>23</v>
      </c>
      <c r="H144" s="1">
        <v>0.22941176499999999</v>
      </c>
      <c r="I144" s="1">
        <v>0.13529411799999999</v>
      </c>
      <c r="J144" s="1">
        <v>0.13529411799999999</v>
      </c>
      <c r="K144" s="1">
        <v>0.241176471</v>
      </c>
      <c r="L144" s="1">
        <v>0.258823529</v>
      </c>
      <c r="M144" s="1" t="s">
        <v>16</v>
      </c>
      <c r="N144" s="1" t="s">
        <v>17</v>
      </c>
    </row>
    <row r="145" spans="1:14" ht="15.75" customHeight="1">
      <c r="A145" s="1">
        <v>0.451697128</v>
      </c>
      <c r="B145" s="1">
        <v>1242</v>
      </c>
      <c r="C145" s="1">
        <v>27</v>
      </c>
      <c r="D145" s="1">
        <v>1570</v>
      </c>
      <c r="E145" s="1">
        <v>55704</v>
      </c>
      <c r="F145" s="1">
        <v>55704</v>
      </c>
      <c r="G145" s="1" t="s">
        <v>23</v>
      </c>
      <c r="H145" s="1">
        <v>0.164750958</v>
      </c>
      <c r="I145" s="1">
        <v>0.111111111</v>
      </c>
      <c r="J145" s="1">
        <v>0.10344827600000001</v>
      </c>
      <c r="K145" s="1">
        <v>0.18773946399999999</v>
      </c>
      <c r="L145" s="1">
        <v>0.43295019200000001</v>
      </c>
      <c r="M145" s="1" t="s">
        <v>16</v>
      </c>
      <c r="N145" s="1" t="s">
        <v>17</v>
      </c>
    </row>
    <row r="146" spans="1:14" ht="15.75" customHeight="1">
      <c r="A146" s="1">
        <v>0.74672131100000005</v>
      </c>
      <c r="B146" s="1">
        <v>1082</v>
      </c>
      <c r="C146" s="1">
        <v>22</v>
      </c>
      <c r="D146" s="1">
        <v>925</v>
      </c>
      <c r="E146" s="1">
        <v>37470</v>
      </c>
      <c r="F146" s="1">
        <v>37470</v>
      </c>
      <c r="G146" s="1" t="s">
        <v>23</v>
      </c>
      <c r="H146" s="1">
        <v>0.112745098</v>
      </c>
      <c r="I146" s="1">
        <v>0.16176470600000001</v>
      </c>
      <c r="J146" s="1">
        <v>0.112745098</v>
      </c>
      <c r="K146" s="1">
        <v>0.23039215699999999</v>
      </c>
      <c r="L146" s="1">
        <v>0.382352941</v>
      </c>
      <c r="M146" s="1" t="s">
        <v>16</v>
      </c>
      <c r="N146" s="1" t="s">
        <v>17</v>
      </c>
    </row>
    <row r="147" spans="1:14" ht="15.75" customHeight="1">
      <c r="A147" s="1">
        <v>0.55419658900000002</v>
      </c>
      <c r="B147" s="1">
        <v>1296</v>
      </c>
      <c r="C147" s="1">
        <v>28</v>
      </c>
      <c r="D147" s="1">
        <v>2812</v>
      </c>
      <c r="E147" s="1">
        <v>51763</v>
      </c>
      <c r="F147" s="1">
        <v>51763</v>
      </c>
      <c r="G147" s="1" t="s">
        <v>23</v>
      </c>
      <c r="H147" s="1">
        <v>0.31903485300000001</v>
      </c>
      <c r="I147" s="1">
        <v>0.17962466499999999</v>
      </c>
      <c r="J147" s="1">
        <v>0.152815013</v>
      </c>
      <c r="K147" s="1">
        <v>0.131367292</v>
      </c>
      <c r="L147" s="1">
        <v>0.21715817700000001</v>
      </c>
      <c r="M147" s="1" t="s">
        <v>16</v>
      </c>
      <c r="N147" s="1" t="s">
        <v>17</v>
      </c>
    </row>
    <row r="148" spans="1:14" ht="15.75" customHeight="1">
      <c r="A148" s="1">
        <v>0.63115692999999995</v>
      </c>
      <c r="B148" s="1">
        <v>985</v>
      </c>
      <c r="C148" s="1">
        <v>20</v>
      </c>
      <c r="D148" s="1">
        <v>780</v>
      </c>
      <c r="E148" s="1">
        <v>30910</v>
      </c>
      <c r="F148" s="1">
        <v>30910</v>
      </c>
      <c r="G148" s="1" t="s">
        <v>23</v>
      </c>
      <c r="H148" s="1">
        <v>0.38016528900000002</v>
      </c>
      <c r="I148" s="1">
        <v>0.107438017</v>
      </c>
      <c r="J148" s="1">
        <v>0.19008264499999999</v>
      </c>
      <c r="K148" s="1">
        <v>0.148760331</v>
      </c>
      <c r="L148" s="1">
        <v>0.173553719</v>
      </c>
      <c r="M148" s="1" t="s">
        <v>16</v>
      </c>
      <c r="N148" s="1" t="s">
        <v>17</v>
      </c>
    </row>
    <row r="149" spans="1:14" ht="15.75" customHeight="1">
      <c r="A149" s="1">
        <v>0.71131527999999999</v>
      </c>
      <c r="B149" s="1">
        <v>1250</v>
      </c>
      <c r="C149" s="1">
        <v>26</v>
      </c>
      <c r="D149" s="1">
        <v>997</v>
      </c>
      <c r="E149" s="1">
        <v>55587</v>
      </c>
      <c r="F149" s="1">
        <v>55587</v>
      </c>
      <c r="G149" s="1" t="s">
        <v>23</v>
      </c>
      <c r="H149" s="1">
        <v>0.26063829799999999</v>
      </c>
      <c r="I149" s="1">
        <v>8.5106382999999994E-2</v>
      </c>
      <c r="J149" s="1">
        <v>0.127659574</v>
      </c>
      <c r="K149" s="1">
        <v>0.122340426</v>
      </c>
      <c r="L149" s="1">
        <v>0.404255319</v>
      </c>
      <c r="M149" s="1" t="s">
        <v>16</v>
      </c>
      <c r="N149" s="1" t="s">
        <v>17</v>
      </c>
    </row>
    <row r="150" spans="1:14" ht="15.75" customHeight="1">
      <c r="A150" s="1">
        <v>0.59405529000000001</v>
      </c>
      <c r="B150" s="1">
        <v>1309</v>
      </c>
      <c r="C150" s="1">
        <v>29</v>
      </c>
      <c r="D150" s="1">
        <v>1782</v>
      </c>
      <c r="E150" s="1">
        <v>54202</v>
      </c>
      <c r="F150" s="1">
        <v>54202</v>
      </c>
      <c r="G150" s="1" t="s">
        <v>23</v>
      </c>
      <c r="H150" s="1">
        <v>0.17325228000000001</v>
      </c>
      <c r="I150" s="1">
        <v>0.14285714299999999</v>
      </c>
      <c r="J150" s="1">
        <v>0.15805471099999999</v>
      </c>
      <c r="K150" s="1">
        <v>8.2066869000000001E-2</v>
      </c>
      <c r="L150" s="1">
        <v>0.443768997</v>
      </c>
      <c r="M150" s="1" t="s">
        <v>16</v>
      </c>
      <c r="N150" s="1" t="s">
        <v>17</v>
      </c>
    </row>
    <row r="151" spans="1:14" ht="15.75" customHeight="1">
      <c r="A151" s="1">
        <v>0.72727272700000001</v>
      </c>
      <c r="B151" s="1">
        <v>1117</v>
      </c>
      <c r="C151" s="1">
        <v>25</v>
      </c>
      <c r="D151" s="1">
        <v>3665</v>
      </c>
      <c r="E151" s="1">
        <v>37882</v>
      </c>
      <c r="F151" s="1">
        <v>37882</v>
      </c>
      <c r="G151" s="1" t="s">
        <v>23</v>
      </c>
      <c r="H151" s="1">
        <v>0.21028037399999999</v>
      </c>
      <c r="I151" s="1">
        <v>0.144859813</v>
      </c>
      <c r="J151" s="1">
        <v>0.17757009300000001</v>
      </c>
      <c r="K151" s="1">
        <v>0.16355140200000001</v>
      </c>
      <c r="L151" s="1">
        <v>0.30373831800000001</v>
      </c>
      <c r="M151" s="1" t="s">
        <v>16</v>
      </c>
      <c r="N151" s="1" t="s">
        <v>17</v>
      </c>
    </row>
    <row r="152" spans="1:14" ht="15.75" customHeight="1">
      <c r="A152" s="1">
        <v>0.81390234299999997</v>
      </c>
      <c r="B152" s="1">
        <v>1283</v>
      </c>
      <c r="C152" s="1">
        <v>29</v>
      </c>
      <c r="D152" s="1">
        <v>11576</v>
      </c>
      <c r="E152" s="1">
        <v>51716</v>
      </c>
      <c r="F152" s="1">
        <v>51716</v>
      </c>
      <c r="G152" s="1" t="s">
        <v>23</v>
      </c>
      <c r="H152" s="1">
        <v>0.18238095200000001</v>
      </c>
      <c r="I152" s="1">
        <v>0.13095238100000001</v>
      </c>
      <c r="J152" s="1">
        <v>0.13809523800000001</v>
      </c>
      <c r="K152" s="1">
        <v>0.128095238</v>
      </c>
      <c r="L152" s="1">
        <v>0.42047619000000003</v>
      </c>
      <c r="M152" s="1" t="s">
        <v>16</v>
      </c>
      <c r="N152" s="1" t="s">
        <v>17</v>
      </c>
    </row>
    <row r="153" spans="1:14" ht="15.75" customHeight="1">
      <c r="A153" s="1">
        <v>0.54053379899999998</v>
      </c>
      <c r="B153" s="1">
        <v>1050</v>
      </c>
      <c r="C153" s="1">
        <v>21</v>
      </c>
      <c r="D153" s="1">
        <v>1458</v>
      </c>
      <c r="E153" s="1">
        <v>26892</v>
      </c>
      <c r="F153" s="1">
        <v>43670</v>
      </c>
      <c r="G153" s="1" t="s">
        <v>23</v>
      </c>
      <c r="H153" s="1">
        <v>0.235294118</v>
      </c>
      <c r="I153" s="1">
        <v>0.141868512</v>
      </c>
      <c r="J153" s="1">
        <v>0.18685121099999999</v>
      </c>
      <c r="K153" s="1">
        <v>0.128027682</v>
      </c>
      <c r="L153" s="1">
        <v>0.30795847799999998</v>
      </c>
      <c r="M153" s="1" t="s">
        <v>16</v>
      </c>
      <c r="N153" s="1" t="s">
        <v>17</v>
      </c>
    </row>
    <row r="154" spans="1:14" ht="15.75" customHeight="1">
      <c r="A154" s="1">
        <v>0.86617100400000002</v>
      </c>
      <c r="B154" s="1">
        <v>1128</v>
      </c>
      <c r="C154" s="1">
        <v>24</v>
      </c>
      <c r="D154" s="1">
        <v>725</v>
      </c>
      <c r="E154" s="1">
        <v>43520</v>
      </c>
      <c r="F154" s="1">
        <v>43520</v>
      </c>
      <c r="G154" s="1" t="s">
        <v>23</v>
      </c>
      <c r="H154" s="1">
        <v>0.15</v>
      </c>
      <c r="I154" s="1">
        <v>0.12222222200000001</v>
      </c>
      <c r="J154" s="1">
        <v>0.188888889</v>
      </c>
      <c r="K154" s="1">
        <v>0.205555556</v>
      </c>
      <c r="L154" s="1">
        <v>0.33333333300000001</v>
      </c>
      <c r="M154" s="1" t="s">
        <v>16</v>
      </c>
      <c r="N154" s="1" t="s">
        <v>17</v>
      </c>
    </row>
    <row r="155" spans="1:14" ht="15.75" customHeight="1">
      <c r="A155" s="1">
        <v>0.58309482899999998</v>
      </c>
      <c r="B155" s="1">
        <v>1165</v>
      </c>
      <c r="C155" s="1">
        <v>25</v>
      </c>
      <c r="D155" s="1">
        <v>2360</v>
      </c>
      <c r="E155" s="1">
        <v>44394</v>
      </c>
      <c r="F155" s="1">
        <v>44394</v>
      </c>
      <c r="G155" s="1" t="s">
        <v>23</v>
      </c>
      <c r="H155" s="1">
        <v>0.131195335</v>
      </c>
      <c r="I155" s="1">
        <v>9.0379008999999996E-2</v>
      </c>
      <c r="J155" s="1">
        <v>0.10204081600000001</v>
      </c>
      <c r="K155" s="1">
        <v>0.189504373</v>
      </c>
      <c r="L155" s="1">
        <v>0.48688046600000001</v>
      </c>
      <c r="M155" s="1" t="s">
        <v>16</v>
      </c>
      <c r="N155" s="1" t="s">
        <v>17</v>
      </c>
    </row>
    <row r="156" spans="1:14" ht="15.75" customHeight="1">
      <c r="A156" s="1">
        <v>0.66900135599999999</v>
      </c>
      <c r="B156" s="1">
        <v>1103</v>
      </c>
      <c r="C156" s="1">
        <v>23</v>
      </c>
      <c r="D156" s="1">
        <v>2485</v>
      </c>
      <c r="E156" s="1">
        <v>37940</v>
      </c>
      <c r="F156" s="1">
        <v>37940</v>
      </c>
      <c r="G156" s="1" t="s">
        <v>23</v>
      </c>
      <c r="H156" s="1">
        <v>0.23091603099999999</v>
      </c>
      <c r="I156" s="1">
        <v>0.13549618299999999</v>
      </c>
      <c r="J156" s="1">
        <v>0.16221374</v>
      </c>
      <c r="K156" s="1">
        <v>0.16793893100000001</v>
      </c>
      <c r="L156" s="1">
        <v>0.30343511499999998</v>
      </c>
      <c r="M156" s="1" t="s">
        <v>16</v>
      </c>
      <c r="N156" s="1" t="s">
        <v>17</v>
      </c>
    </row>
    <row r="157" spans="1:14" ht="15.75" customHeight="1">
      <c r="A157" s="1">
        <v>0.49886208500000001</v>
      </c>
      <c r="B157" s="1">
        <v>1157</v>
      </c>
      <c r="C157" s="1">
        <v>23</v>
      </c>
      <c r="D157" s="1">
        <v>1038</v>
      </c>
      <c r="E157" s="1">
        <v>35740</v>
      </c>
      <c r="F157" s="1">
        <v>35740</v>
      </c>
      <c r="G157" s="1" t="s">
        <v>23</v>
      </c>
      <c r="H157" s="1">
        <v>0.20814479599999999</v>
      </c>
      <c r="I157" s="1">
        <v>0.18552036199999999</v>
      </c>
      <c r="J157" s="1">
        <v>0.13122171899999999</v>
      </c>
      <c r="K157" s="1">
        <v>0.18099547499999999</v>
      </c>
      <c r="L157" s="1">
        <v>0.29411764699999998</v>
      </c>
      <c r="M157" s="1" t="s">
        <v>16</v>
      </c>
      <c r="N157" s="1" t="s">
        <v>17</v>
      </c>
    </row>
    <row r="158" spans="1:14" ht="15.75" customHeight="1">
      <c r="A158" s="1">
        <v>0.57233971100000003</v>
      </c>
      <c r="B158" s="1">
        <v>984</v>
      </c>
      <c r="C158" s="1">
        <v>22</v>
      </c>
      <c r="D158" s="1">
        <v>956</v>
      </c>
      <c r="E158" s="1">
        <v>37300</v>
      </c>
      <c r="F158" s="1">
        <v>37300</v>
      </c>
      <c r="G158" s="1" t="s">
        <v>23</v>
      </c>
      <c r="H158" s="1">
        <v>0.26206896600000001</v>
      </c>
      <c r="I158" s="1">
        <v>0.2</v>
      </c>
      <c r="J158" s="1">
        <v>0.16551724100000001</v>
      </c>
      <c r="K158" s="1">
        <v>0.15862069000000001</v>
      </c>
      <c r="L158" s="1">
        <v>0.21379310300000001</v>
      </c>
      <c r="M158" s="1" t="s">
        <v>16</v>
      </c>
      <c r="N158" s="1" t="s">
        <v>17</v>
      </c>
    </row>
    <row r="159" spans="1:14" ht="15.75" customHeight="1">
      <c r="A159" s="1">
        <v>0.94270920300000005</v>
      </c>
      <c r="B159" s="1">
        <v>1000</v>
      </c>
      <c r="C159" s="1">
        <v>25</v>
      </c>
      <c r="D159" s="1">
        <v>2583</v>
      </c>
      <c r="E159" s="1">
        <v>20280</v>
      </c>
      <c r="F159" s="1">
        <v>20280</v>
      </c>
      <c r="G159" s="1" t="s">
        <v>23</v>
      </c>
      <c r="H159" s="1">
        <v>0.33238636399999999</v>
      </c>
      <c r="I159" s="1">
        <v>0.20170454500000001</v>
      </c>
      <c r="J159" s="1">
        <v>0.17329545499999999</v>
      </c>
      <c r="K159" s="1">
        <v>8.8068181999999995E-2</v>
      </c>
      <c r="L159" s="1">
        <v>0.20454545499999999</v>
      </c>
      <c r="M159" s="1" t="s">
        <v>16</v>
      </c>
      <c r="N159" s="1" t="s">
        <v>17</v>
      </c>
    </row>
    <row r="160" spans="1:14" ht="15.75" customHeight="1">
      <c r="A160" s="1">
        <v>0.79804161600000001</v>
      </c>
      <c r="B160" s="1">
        <v>1022</v>
      </c>
      <c r="C160" s="1">
        <v>18</v>
      </c>
      <c r="D160" s="1">
        <v>2271</v>
      </c>
      <c r="E160" s="1">
        <v>37844</v>
      </c>
      <c r="F160" s="1">
        <v>37844</v>
      </c>
      <c r="G160" s="1" t="s">
        <v>23</v>
      </c>
      <c r="H160" s="1">
        <v>0.30088495599999998</v>
      </c>
      <c r="I160" s="1">
        <v>0.21017699100000001</v>
      </c>
      <c r="J160" s="1">
        <v>0.20353982300000001</v>
      </c>
      <c r="K160" s="1">
        <v>0.126106195</v>
      </c>
      <c r="L160" s="1">
        <v>0.159292035</v>
      </c>
      <c r="M160" s="1" t="s">
        <v>16</v>
      </c>
      <c r="N160" s="1" t="s">
        <v>17</v>
      </c>
    </row>
    <row r="161" spans="1:14" ht="15.75" customHeight="1">
      <c r="A161" s="1">
        <v>0.63930084700000001</v>
      </c>
      <c r="B161" s="1">
        <v>1055</v>
      </c>
      <c r="C161" s="1">
        <v>23</v>
      </c>
      <c r="D161" s="1">
        <v>1292</v>
      </c>
      <c r="E161" s="1">
        <v>37000</v>
      </c>
      <c r="F161" s="1">
        <v>37000</v>
      </c>
      <c r="G161" s="1" t="s">
        <v>23</v>
      </c>
      <c r="H161" s="1">
        <v>0.168316832</v>
      </c>
      <c r="I161" s="1">
        <v>0.183168317</v>
      </c>
      <c r="J161" s="1">
        <v>0.148514851</v>
      </c>
      <c r="K161" s="1">
        <v>0.188118812</v>
      </c>
      <c r="L161" s="1">
        <v>0.31188118799999998</v>
      </c>
      <c r="M161" s="1" t="s">
        <v>16</v>
      </c>
      <c r="N161" s="1" t="s">
        <v>17</v>
      </c>
    </row>
    <row r="162" spans="1:14" ht="15.75" customHeight="1">
      <c r="A162" s="1">
        <v>0.88650306700000003</v>
      </c>
      <c r="B162" s="1">
        <v>1154</v>
      </c>
      <c r="C162" s="1">
        <v>26</v>
      </c>
      <c r="D162" s="1">
        <v>796</v>
      </c>
      <c r="E162" s="1">
        <v>20325</v>
      </c>
      <c r="F162" s="1">
        <v>20325</v>
      </c>
      <c r="G162" s="1" t="s">
        <v>23</v>
      </c>
      <c r="H162" s="1">
        <v>0.23076923099999999</v>
      </c>
      <c r="I162" s="1">
        <v>0.10576923100000001</v>
      </c>
      <c r="J162" s="1">
        <v>0.17307692299999999</v>
      </c>
      <c r="K162" s="1">
        <v>0.21153846200000001</v>
      </c>
      <c r="L162" s="1">
        <v>0.27884615400000001</v>
      </c>
      <c r="M162" s="1" t="s">
        <v>16</v>
      </c>
      <c r="N162" s="1" t="s">
        <v>17</v>
      </c>
    </row>
    <row r="163" spans="1:14" ht="15.75" customHeight="1">
      <c r="A163" s="1">
        <v>0.899785638</v>
      </c>
      <c r="B163" s="1">
        <v>1363</v>
      </c>
      <c r="C163" s="1">
        <v>30</v>
      </c>
      <c r="D163" s="1">
        <v>2087</v>
      </c>
      <c r="E163" s="1">
        <v>43930</v>
      </c>
      <c r="F163" s="1">
        <v>43930</v>
      </c>
      <c r="G163" s="1" t="s">
        <v>23</v>
      </c>
      <c r="H163" s="1">
        <v>0.149466192</v>
      </c>
      <c r="I163" s="1">
        <v>0.110320285</v>
      </c>
      <c r="J163" s="1">
        <v>0.15302491100000001</v>
      </c>
      <c r="K163" s="1">
        <v>0.15658363</v>
      </c>
      <c r="L163" s="1">
        <v>0.43060498200000002</v>
      </c>
      <c r="M163" s="1" t="s">
        <v>16</v>
      </c>
      <c r="N163" s="1" t="s">
        <v>17</v>
      </c>
    </row>
    <row r="164" spans="1:14" ht="15.75" customHeight="1">
      <c r="A164" s="1">
        <v>0.53418124</v>
      </c>
      <c r="B164" s="1">
        <v>1054</v>
      </c>
      <c r="C164" s="1">
        <v>20</v>
      </c>
      <c r="D164" s="1">
        <v>1070</v>
      </c>
      <c r="E164" s="1">
        <v>35640</v>
      </c>
      <c r="F164" s="1">
        <v>35640</v>
      </c>
      <c r="G164" s="1" t="s">
        <v>23</v>
      </c>
      <c r="H164" s="1">
        <v>0.24590163900000001</v>
      </c>
      <c r="I164" s="1">
        <v>0.135245902</v>
      </c>
      <c r="J164" s="1">
        <v>0.15163934400000001</v>
      </c>
      <c r="K164" s="1">
        <v>0.17622950800000001</v>
      </c>
      <c r="L164" s="1">
        <v>0.29098360699999998</v>
      </c>
      <c r="M164" s="1" t="s">
        <v>16</v>
      </c>
      <c r="N164" s="1" t="s">
        <v>17</v>
      </c>
    </row>
    <row r="165" spans="1:14" ht="15.75" customHeight="1">
      <c r="A165" s="1">
        <v>0.98679471799999996</v>
      </c>
      <c r="B165" s="1">
        <v>1073</v>
      </c>
      <c r="C165" s="1">
        <v>21</v>
      </c>
      <c r="D165" s="1">
        <v>1069</v>
      </c>
      <c r="E165" s="1">
        <v>33320</v>
      </c>
      <c r="F165" s="1">
        <v>33320</v>
      </c>
      <c r="G165" s="1" t="s">
        <v>23</v>
      </c>
      <c r="H165" s="1">
        <v>0.22641509400000001</v>
      </c>
      <c r="I165" s="1">
        <v>0.132075472</v>
      </c>
      <c r="J165" s="1">
        <v>0.26415094300000003</v>
      </c>
      <c r="K165" s="1">
        <v>0.16981132099999999</v>
      </c>
      <c r="L165" s="1">
        <v>0.20754717</v>
      </c>
      <c r="M165" s="1" t="s">
        <v>16</v>
      </c>
      <c r="N165" s="1" t="s">
        <v>17</v>
      </c>
    </row>
    <row r="166" spans="1:14" ht="15.75" customHeight="1">
      <c r="A166" s="1">
        <v>0.85865761799999996</v>
      </c>
      <c r="B166" s="1">
        <v>1282</v>
      </c>
      <c r="C166" s="1">
        <v>28</v>
      </c>
      <c r="D166" s="1">
        <v>4383</v>
      </c>
      <c r="E166" s="1">
        <v>45980</v>
      </c>
      <c r="F166" s="1">
        <v>45980</v>
      </c>
      <c r="G166" s="1" t="s">
        <v>23</v>
      </c>
      <c r="H166" s="1">
        <v>0.14100486200000001</v>
      </c>
      <c r="I166" s="1">
        <v>9.8865478000000007E-2</v>
      </c>
      <c r="J166" s="1">
        <v>0.12965964299999999</v>
      </c>
      <c r="K166" s="1">
        <v>0.121555916</v>
      </c>
      <c r="L166" s="1">
        <v>0.50891410000000004</v>
      </c>
      <c r="M166" s="1" t="s">
        <v>16</v>
      </c>
      <c r="N166" s="1" t="s">
        <v>17</v>
      </c>
    </row>
    <row r="167" spans="1:14" ht="15.75" customHeight="1">
      <c r="A167" s="1">
        <v>0.54064193400000005</v>
      </c>
      <c r="B167" s="1">
        <v>1287</v>
      </c>
      <c r="C167" s="1">
        <v>29</v>
      </c>
      <c r="D167" s="1">
        <v>1804</v>
      </c>
      <c r="E167" s="1">
        <v>57070</v>
      </c>
      <c r="F167" s="1">
        <v>57070</v>
      </c>
      <c r="G167" s="1" t="s">
        <v>23</v>
      </c>
      <c r="H167" s="1">
        <v>0.14141414099999999</v>
      </c>
      <c r="I167" s="1">
        <v>0.12626262599999999</v>
      </c>
      <c r="J167" s="1">
        <v>0.156565657</v>
      </c>
      <c r="K167" s="1">
        <v>0.156565657</v>
      </c>
      <c r="L167" s="1">
        <v>0.41919191900000002</v>
      </c>
      <c r="M167" s="1" t="s">
        <v>16</v>
      </c>
      <c r="N167" s="1" t="s">
        <v>17</v>
      </c>
    </row>
    <row r="168" spans="1:14" ht="15.75" customHeight="1">
      <c r="A168" s="1">
        <v>0.74220963200000001</v>
      </c>
      <c r="B168" s="1">
        <v>1250</v>
      </c>
      <c r="C168" s="1">
        <v>26</v>
      </c>
      <c r="D168" s="1">
        <v>612</v>
      </c>
      <c r="E168" s="1">
        <v>51840</v>
      </c>
      <c r="F168" s="1">
        <v>51840</v>
      </c>
      <c r="G168" s="1" t="s">
        <v>23</v>
      </c>
      <c r="H168" s="1">
        <v>0.17592592600000001</v>
      </c>
      <c r="I168" s="1">
        <v>0.13888888899999999</v>
      </c>
      <c r="J168" s="1">
        <v>0.13888888899999999</v>
      </c>
      <c r="K168" s="1">
        <v>0.16666666699999999</v>
      </c>
      <c r="L168" s="1">
        <v>0.37962963</v>
      </c>
      <c r="M168" s="1" t="s">
        <v>16</v>
      </c>
      <c r="N168" s="1" t="s">
        <v>17</v>
      </c>
    </row>
    <row r="169" spans="1:14" ht="15.75" customHeight="1">
      <c r="A169" s="1">
        <v>0.70583038899999995</v>
      </c>
      <c r="B169" s="1">
        <v>1119</v>
      </c>
      <c r="C169" s="1">
        <v>24</v>
      </c>
      <c r="D169" s="1">
        <v>872</v>
      </c>
      <c r="E169" s="1">
        <v>37350</v>
      </c>
      <c r="F169" s="1">
        <v>37350</v>
      </c>
      <c r="G169" s="1" t="s">
        <v>23</v>
      </c>
      <c r="H169" s="1">
        <v>0.16582914600000001</v>
      </c>
      <c r="I169" s="1">
        <v>0.170854271</v>
      </c>
      <c r="J169" s="1">
        <v>0.201005025</v>
      </c>
      <c r="K169" s="1">
        <v>0.170854271</v>
      </c>
      <c r="L169" s="1">
        <v>0.29145728599999998</v>
      </c>
      <c r="M169" s="1" t="s">
        <v>16</v>
      </c>
      <c r="N169" s="1" t="s">
        <v>17</v>
      </c>
    </row>
    <row r="170" spans="1:14" ht="15.75" customHeight="1">
      <c r="A170" s="1">
        <v>0.88936170199999998</v>
      </c>
      <c r="B170" s="1">
        <v>1049</v>
      </c>
      <c r="C170" s="1">
        <v>25</v>
      </c>
      <c r="D170" s="1">
        <v>761</v>
      </c>
      <c r="E170" s="1">
        <v>37760</v>
      </c>
      <c r="F170" s="1">
        <v>37760</v>
      </c>
      <c r="G170" s="1" t="s">
        <v>23</v>
      </c>
      <c r="H170" s="1">
        <v>0.15447154499999999</v>
      </c>
      <c r="I170" s="1">
        <v>0.203252033</v>
      </c>
      <c r="J170" s="1">
        <v>0.227642276</v>
      </c>
      <c r="K170" s="1">
        <v>0.17073170700000001</v>
      </c>
      <c r="L170" s="1">
        <v>0.243902439</v>
      </c>
      <c r="M170" s="1" t="s">
        <v>16</v>
      </c>
      <c r="N170" s="1" t="s">
        <v>17</v>
      </c>
    </row>
    <row r="171" spans="1:14" ht="15.75" customHeight="1">
      <c r="A171" s="1">
        <v>0.80783264399999999</v>
      </c>
      <c r="B171" s="1">
        <v>1088</v>
      </c>
      <c r="C171" s="1">
        <v>22</v>
      </c>
      <c r="D171" s="1">
        <v>1511</v>
      </c>
      <c r="E171" s="1">
        <v>30034</v>
      </c>
      <c r="F171" s="1">
        <v>30034</v>
      </c>
      <c r="G171" s="1" t="s">
        <v>23</v>
      </c>
      <c r="H171" s="1">
        <v>0.14968152900000001</v>
      </c>
      <c r="I171" s="1">
        <v>0.10191082799999999</v>
      </c>
      <c r="J171" s="1">
        <v>0.21656051000000001</v>
      </c>
      <c r="K171" s="1">
        <v>0.22929936300000001</v>
      </c>
      <c r="L171" s="1">
        <v>0.30254777100000002</v>
      </c>
      <c r="M171" s="1" t="s">
        <v>16</v>
      </c>
      <c r="N171" s="1" t="s">
        <v>17</v>
      </c>
    </row>
    <row r="172" spans="1:14" ht="15.75" customHeight="1">
      <c r="A172" s="1">
        <v>0.83974833500000001</v>
      </c>
      <c r="B172" s="1">
        <v>1197</v>
      </c>
      <c r="C172" s="1">
        <v>26</v>
      </c>
      <c r="D172" s="1">
        <v>958</v>
      </c>
      <c r="E172" s="1">
        <v>42894</v>
      </c>
      <c r="F172" s="1">
        <v>42894</v>
      </c>
      <c r="G172" s="1" t="s">
        <v>23</v>
      </c>
      <c r="H172" s="1">
        <v>0.17021276599999999</v>
      </c>
      <c r="I172" s="1">
        <v>9.5744680999999998E-2</v>
      </c>
      <c r="J172" s="1">
        <v>0.191489362</v>
      </c>
      <c r="K172" s="1">
        <v>0.223404255</v>
      </c>
      <c r="L172" s="1">
        <v>0.31914893599999999</v>
      </c>
      <c r="M172" s="1" t="s">
        <v>16</v>
      </c>
      <c r="N172" s="1" t="s">
        <v>17</v>
      </c>
    </row>
    <row r="173" spans="1:14" ht="15.75" customHeight="1">
      <c r="A173" s="1">
        <v>0.73712574900000005</v>
      </c>
      <c r="B173" s="1">
        <v>1229</v>
      </c>
      <c r="C173" s="1">
        <v>28</v>
      </c>
      <c r="D173" s="1">
        <v>533</v>
      </c>
      <c r="E173" s="1">
        <v>35500</v>
      </c>
      <c r="F173" s="1">
        <v>35500</v>
      </c>
      <c r="G173" s="1" t="s">
        <v>23</v>
      </c>
      <c r="H173" s="1">
        <v>0.1171875</v>
      </c>
      <c r="I173" s="1">
        <v>0.1015625</v>
      </c>
      <c r="J173" s="1">
        <v>0.1328125</v>
      </c>
      <c r="K173" s="1">
        <v>0.1328125</v>
      </c>
      <c r="L173" s="1">
        <v>0.515625</v>
      </c>
      <c r="M173" s="1" t="s">
        <v>16</v>
      </c>
      <c r="N173" s="1" t="s">
        <v>17</v>
      </c>
    </row>
    <row r="174" spans="1:14" ht="15.75" customHeight="1">
      <c r="A174" s="1">
        <v>0.71146496800000003</v>
      </c>
      <c r="B174" s="1">
        <v>1124</v>
      </c>
      <c r="C174" s="1">
        <v>23</v>
      </c>
      <c r="D174" s="1">
        <v>1016</v>
      </c>
      <c r="E174" s="1">
        <v>29982</v>
      </c>
      <c r="F174" s="1">
        <v>29982</v>
      </c>
      <c r="G174" s="1" t="s">
        <v>23</v>
      </c>
      <c r="H174" s="1">
        <v>0.124223602</v>
      </c>
      <c r="I174" s="1">
        <v>0.17391304299999999</v>
      </c>
      <c r="J174" s="1">
        <v>0.211180124</v>
      </c>
      <c r="K174" s="1">
        <v>0.23602484500000001</v>
      </c>
      <c r="L174" s="1">
        <v>0.25465838499999999</v>
      </c>
      <c r="M174" s="1" t="s">
        <v>16</v>
      </c>
      <c r="N174" s="1" t="s">
        <v>17</v>
      </c>
    </row>
    <row r="175" spans="1:14" ht="15.75" customHeight="1">
      <c r="A175" s="1">
        <v>0.82207578299999995</v>
      </c>
      <c r="B175" s="1">
        <v>1074</v>
      </c>
      <c r="C175" s="1">
        <v>21</v>
      </c>
      <c r="D175" s="1">
        <v>1927</v>
      </c>
      <c r="E175" s="1">
        <v>31168</v>
      </c>
      <c r="F175" s="1">
        <v>31168</v>
      </c>
      <c r="G175" s="1" t="s">
        <v>23</v>
      </c>
      <c r="H175" s="1">
        <v>0.146292585</v>
      </c>
      <c r="I175" s="1">
        <v>7.6152305000000003E-2</v>
      </c>
      <c r="J175" s="1">
        <v>0.178356713</v>
      </c>
      <c r="K175" s="1">
        <v>0.20641282599999999</v>
      </c>
      <c r="L175" s="1">
        <v>0.392785571</v>
      </c>
      <c r="M175" s="1" t="s">
        <v>16</v>
      </c>
      <c r="N175" s="1" t="s">
        <v>17</v>
      </c>
    </row>
    <row r="176" spans="1:14" ht="15.75" customHeight="1">
      <c r="A176" s="1">
        <v>0.72808320999999998</v>
      </c>
      <c r="B176" s="1">
        <v>1389</v>
      </c>
      <c r="C176" s="1">
        <v>31</v>
      </c>
      <c r="D176" s="1">
        <v>2224</v>
      </c>
      <c r="E176" s="1">
        <v>56674</v>
      </c>
      <c r="F176" s="1">
        <v>56674</v>
      </c>
      <c r="G176" s="1" t="s">
        <v>23</v>
      </c>
      <c r="H176" s="1">
        <v>9.2592593000000001E-2</v>
      </c>
      <c r="I176" s="1">
        <v>6.4814814999999998E-2</v>
      </c>
      <c r="J176" s="1">
        <v>0.132716049</v>
      </c>
      <c r="K176" s="1">
        <v>0.18827160500000001</v>
      </c>
      <c r="L176" s="1">
        <v>0.52160493799999996</v>
      </c>
      <c r="M176" s="1" t="s">
        <v>16</v>
      </c>
      <c r="N176" s="1" t="s">
        <v>17</v>
      </c>
    </row>
    <row r="177" spans="1:14" ht="15.75" customHeight="1">
      <c r="A177" s="1">
        <v>0.97564102600000002</v>
      </c>
      <c r="B177" s="1">
        <v>1040</v>
      </c>
      <c r="C177" s="1">
        <v>21</v>
      </c>
      <c r="D177" s="1">
        <v>1599</v>
      </c>
      <c r="E177" s="1">
        <v>35420</v>
      </c>
      <c r="F177" s="1">
        <v>35420</v>
      </c>
      <c r="G177" s="1" t="s">
        <v>23</v>
      </c>
      <c r="H177" s="1">
        <v>0.239130435</v>
      </c>
      <c r="I177" s="1">
        <v>0.15217391299999999</v>
      </c>
      <c r="J177" s="1">
        <v>0.17753623199999999</v>
      </c>
      <c r="K177" s="1">
        <v>0.17753623199999999</v>
      </c>
      <c r="L177" s="1">
        <v>0.253623188</v>
      </c>
      <c r="M177" s="1" t="s">
        <v>16</v>
      </c>
      <c r="N177" s="1" t="s">
        <v>17</v>
      </c>
    </row>
    <row r="178" spans="1:14" ht="15.75" customHeight="1">
      <c r="A178" s="1">
        <v>0.76142131999999996</v>
      </c>
      <c r="B178" s="1">
        <v>966</v>
      </c>
      <c r="C178" s="1">
        <v>15</v>
      </c>
      <c r="D178" s="1">
        <v>896</v>
      </c>
      <c r="E178" s="1">
        <v>33490</v>
      </c>
      <c r="F178" s="1">
        <v>33490</v>
      </c>
      <c r="G178" s="1" t="s">
        <v>23</v>
      </c>
      <c r="H178" s="1">
        <v>0.28089887600000002</v>
      </c>
      <c r="I178" s="1">
        <v>0.18539325800000001</v>
      </c>
      <c r="J178" s="1">
        <v>0.20786516899999999</v>
      </c>
      <c r="K178" s="1">
        <v>0.10674157300000001</v>
      </c>
      <c r="L178" s="1">
        <v>0.21910112400000001</v>
      </c>
      <c r="M178" s="1" t="s">
        <v>16</v>
      </c>
      <c r="N178" s="1" t="s">
        <v>17</v>
      </c>
    </row>
    <row r="179" spans="1:14" ht="15.75" customHeight="1">
      <c r="A179" s="1">
        <v>0.81110643699999996</v>
      </c>
      <c r="B179" s="1">
        <v>1233</v>
      </c>
      <c r="C179" s="1">
        <v>27</v>
      </c>
      <c r="D179" s="1">
        <v>1399</v>
      </c>
      <c r="E179" s="1">
        <v>51430</v>
      </c>
      <c r="F179" s="1">
        <v>51430</v>
      </c>
      <c r="G179" s="1" t="s">
        <v>23</v>
      </c>
      <c r="H179" s="1">
        <v>0.14919354800000001</v>
      </c>
      <c r="I179" s="1">
        <v>0.13306451599999999</v>
      </c>
      <c r="J179" s="1">
        <v>8.4677419000000004E-2</v>
      </c>
      <c r="K179" s="1">
        <v>0.14919354800000001</v>
      </c>
      <c r="L179" s="1">
        <v>0.48387096800000001</v>
      </c>
      <c r="M179" s="1" t="s">
        <v>16</v>
      </c>
      <c r="N179" s="1" t="s">
        <v>17</v>
      </c>
    </row>
    <row r="180" spans="1:14" ht="15.75" customHeight="1">
      <c r="A180" s="1">
        <v>0.76107899800000001</v>
      </c>
      <c r="B180" s="1">
        <v>1232</v>
      </c>
      <c r="C180" s="1">
        <v>27</v>
      </c>
      <c r="D180" s="1">
        <v>1890</v>
      </c>
      <c r="E180" s="1">
        <v>39104</v>
      </c>
      <c r="F180" s="1">
        <v>39104</v>
      </c>
      <c r="G180" s="1" t="s">
        <v>23</v>
      </c>
      <c r="H180" s="1">
        <v>8.7719298000000001E-2</v>
      </c>
      <c r="I180" s="1">
        <v>7.7192981999999993E-2</v>
      </c>
      <c r="J180" s="1">
        <v>0.161403509</v>
      </c>
      <c r="K180" s="1">
        <v>0.21052631599999999</v>
      </c>
      <c r="L180" s="1">
        <v>0.46315789499999999</v>
      </c>
      <c r="M180" s="1" t="s">
        <v>16</v>
      </c>
      <c r="N180" s="1" t="s">
        <v>17</v>
      </c>
    </row>
    <row r="181" spans="1:14" ht="15.75" customHeight="1">
      <c r="A181" s="1">
        <v>0.92222403399999997</v>
      </c>
      <c r="B181" s="1">
        <v>1226</v>
      </c>
      <c r="C181" s="1">
        <v>29</v>
      </c>
      <c r="D181" s="1">
        <v>2229</v>
      </c>
      <c r="E181" s="1">
        <v>46588</v>
      </c>
      <c r="F181" s="1">
        <v>46588</v>
      </c>
      <c r="G181" s="1" t="s">
        <v>23</v>
      </c>
      <c r="H181" s="1">
        <v>0.193069307</v>
      </c>
      <c r="I181" s="1">
        <v>0.111386139</v>
      </c>
      <c r="J181" s="1">
        <v>0.16089108899999999</v>
      </c>
      <c r="K181" s="1">
        <v>0.178217822</v>
      </c>
      <c r="L181" s="1">
        <v>0.356435644</v>
      </c>
      <c r="M181" s="1" t="s">
        <v>16</v>
      </c>
      <c r="N181" s="1" t="s">
        <v>17</v>
      </c>
    </row>
    <row r="182" spans="1:14" ht="15.75" customHeight="1">
      <c r="A182" s="1">
        <v>0.62783342099999995</v>
      </c>
      <c r="B182" s="1">
        <v>1210</v>
      </c>
      <c r="C182" s="1">
        <v>26</v>
      </c>
      <c r="D182" s="1">
        <v>845</v>
      </c>
      <c r="E182" s="1">
        <v>49125</v>
      </c>
      <c r="F182" s="1">
        <v>49125</v>
      </c>
      <c r="G182" s="1" t="s">
        <v>23</v>
      </c>
      <c r="H182" s="1">
        <v>0.180722892</v>
      </c>
      <c r="I182" s="1">
        <v>0.114457831</v>
      </c>
      <c r="J182" s="1">
        <v>0.120481928</v>
      </c>
      <c r="K182" s="1">
        <v>0.186746988</v>
      </c>
      <c r="L182" s="1">
        <v>0.397590361</v>
      </c>
      <c r="M182" s="1" t="s">
        <v>16</v>
      </c>
      <c r="N182" s="1" t="s">
        <v>17</v>
      </c>
    </row>
    <row r="183" spans="1:14" ht="15.75" customHeight="1">
      <c r="A183" s="1">
        <v>0.71761657999999995</v>
      </c>
      <c r="B183" s="1">
        <v>1090</v>
      </c>
      <c r="C183" s="1">
        <v>21</v>
      </c>
      <c r="D183" s="1">
        <v>1378</v>
      </c>
      <c r="E183" s="1">
        <v>40190</v>
      </c>
      <c r="F183" s="1">
        <v>40190</v>
      </c>
      <c r="G183" s="1" t="s">
        <v>23</v>
      </c>
      <c r="H183" s="1">
        <v>0.20942408400000001</v>
      </c>
      <c r="I183" s="1">
        <v>0.115183246</v>
      </c>
      <c r="J183" s="1">
        <v>0.146596859</v>
      </c>
      <c r="K183" s="1">
        <v>0.25130890099999997</v>
      </c>
      <c r="L183" s="1">
        <v>0.277486911</v>
      </c>
      <c r="M183" s="1" t="s">
        <v>16</v>
      </c>
      <c r="N183" s="1" t="s">
        <v>17</v>
      </c>
    </row>
    <row r="184" spans="1:14" ht="15.75" customHeight="1">
      <c r="A184" s="1">
        <v>0.78968655200000004</v>
      </c>
      <c r="B184" s="1">
        <v>1115</v>
      </c>
      <c r="C184" s="1">
        <v>22</v>
      </c>
      <c r="D184" s="1">
        <v>1062</v>
      </c>
      <c r="E184" s="1">
        <v>20988</v>
      </c>
      <c r="F184" s="1">
        <v>20988</v>
      </c>
      <c r="G184" s="1" t="s">
        <v>23</v>
      </c>
      <c r="H184" s="1">
        <v>9.5406359999999996E-2</v>
      </c>
      <c r="I184" s="1">
        <v>7.4204946999999993E-2</v>
      </c>
      <c r="J184" s="1">
        <v>0.14134275600000001</v>
      </c>
      <c r="K184" s="1">
        <v>0.22261484100000001</v>
      </c>
      <c r="L184" s="1">
        <v>0.46643109500000002</v>
      </c>
      <c r="M184" s="1" t="s">
        <v>16</v>
      </c>
      <c r="N184" s="1" t="s">
        <v>17</v>
      </c>
    </row>
    <row r="185" spans="1:14" ht="15.75" customHeight="1">
      <c r="A185" s="1">
        <v>0.68156786499999999</v>
      </c>
      <c r="B185" s="1">
        <v>1060</v>
      </c>
      <c r="C185" s="1">
        <v>22</v>
      </c>
      <c r="D185" s="1">
        <v>782</v>
      </c>
      <c r="E185" s="1">
        <v>39600</v>
      </c>
      <c r="F185" s="1">
        <v>39600</v>
      </c>
      <c r="G185" s="1" t="s">
        <v>23</v>
      </c>
      <c r="H185" s="1">
        <v>0.25</v>
      </c>
      <c r="I185" s="1">
        <v>0.14374999999999999</v>
      </c>
      <c r="J185" s="1">
        <v>0.17499999999999999</v>
      </c>
      <c r="K185" s="1">
        <v>0.13750000000000001</v>
      </c>
      <c r="L185" s="1">
        <v>0.29375000000000001</v>
      </c>
      <c r="M185" s="1" t="s">
        <v>16</v>
      </c>
      <c r="N185" s="1" t="s">
        <v>17</v>
      </c>
    </row>
    <row r="186" spans="1:14" ht="15.75" customHeight="1">
      <c r="A186" s="1">
        <v>0.70673546200000004</v>
      </c>
      <c r="B186" s="1">
        <v>1206</v>
      </c>
      <c r="C186" s="1">
        <v>25</v>
      </c>
      <c r="D186" s="1">
        <v>1246</v>
      </c>
      <c r="E186" s="1">
        <v>52576</v>
      </c>
      <c r="F186" s="1">
        <v>52576</v>
      </c>
      <c r="G186" s="1" t="s">
        <v>23</v>
      </c>
      <c r="H186" s="1">
        <v>0.19655172400000001</v>
      </c>
      <c r="I186" s="1">
        <v>0.16206896600000001</v>
      </c>
      <c r="J186" s="1">
        <v>0.15172413800000001</v>
      </c>
      <c r="K186" s="1">
        <v>0.21379310300000001</v>
      </c>
      <c r="L186" s="1">
        <v>0.27586206899999999</v>
      </c>
      <c r="M186" s="1" t="s">
        <v>16</v>
      </c>
      <c r="N186" s="1" t="s">
        <v>17</v>
      </c>
    </row>
    <row r="187" spans="1:14" ht="15.75" customHeight="1">
      <c r="A187" s="1">
        <v>0.80660835799999997</v>
      </c>
      <c r="B187" s="1">
        <v>1246</v>
      </c>
      <c r="C187" s="1">
        <v>26</v>
      </c>
      <c r="D187" s="1">
        <v>1074</v>
      </c>
      <c r="E187" s="1">
        <v>50634</v>
      </c>
      <c r="F187" s="1">
        <v>50634</v>
      </c>
      <c r="G187" s="1" t="s">
        <v>23</v>
      </c>
      <c r="H187" s="1">
        <v>0.12133891199999999</v>
      </c>
      <c r="I187" s="1">
        <v>0.138075314</v>
      </c>
      <c r="J187" s="1">
        <v>0.175732218</v>
      </c>
      <c r="K187" s="1">
        <v>0.20083682</v>
      </c>
      <c r="L187" s="1">
        <v>0.36401673600000001</v>
      </c>
      <c r="M187" s="1" t="s">
        <v>16</v>
      </c>
      <c r="N187" s="1" t="s">
        <v>17</v>
      </c>
    </row>
    <row r="188" spans="1:14" ht="15.75" customHeight="1">
      <c r="A188" s="1">
        <v>0.71159874599999995</v>
      </c>
      <c r="B188" s="1">
        <v>1175</v>
      </c>
      <c r="C188" s="1">
        <v>24</v>
      </c>
      <c r="D188" s="1">
        <v>1547</v>
      </c>
      <c r="E188" s="1">
        <v>35960</v>
      </c>
      <c r="F188" s="1">
        <v>35960</v>
      </c>
      <c r="G188" s="1" t="s">
        <v>23</v>
      </c>
      <c r="H188" s="1">
        <v>0.106918239</v>
      </c>
      <c r="I188" s="1">
        <v>0.119496855</v>
      </c>
      <c r="J188" s="1">
        <v>0.27672955999999999</v>
      </c>
      <c r="K188" s="1">
        <v>0.27044025199999999</v>
      </c>
      <c r="L188" s="1">
        <v>0.22641509400000001</v>
      </c>
      <c r="M188" s="1" t="s">
        <v>16</v>
      </c>
      <c r="N188" s="1" t="s">
        <v>17</v>
      </c>
    </row>
    <row r="189" spans="1:14" ht="15.75" customHeight="1">
      <c r="A189" s="1">
        <v>0.64126081899999998</v>
      </c>
      <c r="B189" s="1">
        <v>1288</v>
      </c>
      <c r="C189" s="1">
        <v>27</v>
      </c>
      <c r="D189" s="1">
        <v>2669</v>
      </c>
      <c r="E189" s="1">
        <v>49944</v>
      </c>
      <c r="F189" s="1">
        <v>49944</v>
      </c>
      <c r="G189" s="1" t="s">
        <v>23</v>
      </c>
      <c r="H189" s="1">
        <v>0.168918919</v>
      </c>
      <c r="I189" s="1">
        <v>0.130630631</v>
      </c>
      <c r="J189" s="1">
        <v>0.13513513499999999</v>
      </c>
      <c r="K189" s="1">
        <v>0.13513513499999999</v>
      </c>
      <c r="L189" s="1">
        <v>0.43018018000000002</v>
      </c>
      <c r="M189" s="1" t="s">
        <v>16</v>
      </c>
      <c r="N189" s="1" t="s">
        <v>17</v>
      </c>
    </row>
    <row r="190" spans="1:14" ht="15.75" customHeight="1">
      <c r="A190" s="1">
        <v>0.86923076899999996</v>
      </c>
      <c r="B190" s="1">
        <v>1119</v>
      </c>
      <c r="C190" s="1">
        <v>23</v>
      </c>
      <c r="D190" s="1">
        <v>1473</v>
      </c>
      <c r="E190" s="1">
        <v>40065</v>
      </c>
      <c r="F190" s="1">
        <v>40065</v>
      </c>
      <c r="G190" s="1" t="s">
        <v>23</v>
      </c>
      <c r="H190" s="1">
        <v>0.163822526</v>
      </c>
      <c r="I190" s="1">
        <v>8.8737201000000002E-2</v>
      </c>
      <c r="J190" s="1">
        <v>9.2150171000000003E-2</v>
      </c>
      <c r="K190" s="1">
        <v>0.16040955600000001</v>
      </c>
      <c r="L190" s="1">
        <v>0.49488054599999998</v>
      </c>
      <c r="M190" s="1" t="s">
        <v>16</v>
      </c>
      <c r="N190" s="1" t="s">
        <v>17</v>
      </c>
    </row>
    <row r="191" spans="1:14" ht="15.75" customHeight="1">
      <c r="A191" s="1">
        <v>0.97701149399999998</v>
      </c>
      <c r="B191" s="1">
        <v>1109</v>
      </c>
      <c r="C191" s="1">
        <v>22</v>
      </c>
      <c r="D191" s="1">
        <v>183</v>
      </c>
      <c r="E191" s="1">
        <v>20000</v>
      </c>
      <c r="F191" s="1">
        <v>20000</v>
      </c>
      <c r="G191" s="1" t="s">
        <v>23</v>
      </c>
      <c r="H191" s="1">
        <v>0.16129032300000001</v>
      </c>
      <c r="I191" s="1">
        <v>0.16129032300000001</v>
      </c>
      <c r="J191" s="1">
        <v>0.38709677399999998</v>
      </c>
      <c r="K191" s="1">
        <v>0.19354838699999999</v>
      </c>
      <c r="L191" s="1">
        <v>9.6774193999999994E-2</v>
      </c>
      <c r="M191" s="1" t="s">
        <v>16</v>
      </c>
      <c r="N191" s="1" t="s">
        <v>17</v>
      </c>
    </row>
    <row r="192" spans="1:14" ht="15.75" customHeight="1">
      <c r="A192" s="1">
        <v>0.49675324700000001</v>
      </c>
      <c r="B192" s="1">
        <v>1088</v>
      </c>
      <c r="C192" s="1">
        <v>21</v>
      </c>
      <c r="D192" s="1">
        <v>371</v>
      </c>
      <c r="E192" s="1">
        <v>19530</v>
      </c>
      <c r="F192" s="1">
        <v>19530</v>
      </c>
      <c r="G192" s="1" t="s">
        <v>23</v>
      </c>
      <c r="H192" s="1">
        <v>0.16129032300000001</v>
      </c>
      <c r="I192" s="1">
        <v>0.24193548400000001</v>
      </c>
      <c r="J192" s="1">
        <v>0.322580645</v>
      </c>
      <c r="K192" s="1">
        <v>0.16129032300000001</v>
      </c>
      <c r="L192" s="1">
        <v>0.112903226</v>
      </c>
      <c r="M192" s="1" t="s">
        <v>16</v>
      </c>
      <c r="N192" s="1" t="s">
        <v>17</v>
      </c>
    </row>
    <row r="193" spans="1:14" ht="15.75" customHeight="1">
      <c r="A193" s="1">
        <v>0.126752103</v>
      </c>
      <c r="B193" s="1">
        <v>1486</v>
      </c>
      <c r="C193" s="1">
        <v>33</v>
      </c>
      <c r="D193" s="1">
        <v>1705</v>
      </c>
      <c r="E193" s="1">
        <v>64862</v>
      </c>
      <c r="F193" s="1">
        <v>64862</v>
      </c>
      <c r="G193" s="1" t="s">
        <v>23</v>
      </c>
      <c r="H193" s="1">
        <v>0.20634920600000001</v>
      </c>
      <c r="I193" s="1">
        <v>0.21428571399999999</v>
      </c>
      <c r="J193" s="1">
        <v>0.21428571399999999</v>
      </c>
      <c r="K193" s="1">
        <v>8.7301587E-2</v>
      </c>
      <c r="L193" s="1">
        <v>0.27777777799999998</v>
      </c>
      <c r="M193" s="1" t="s">
        <v>16</v>
      </c>
      <c r="N193" s="1" t="s">
        <v>17</v>
      </c>
    </row>
    <row r="194" spans="1:14" ht="15.75" customHeight="1">
      <c r="A194" s="1">
        <v>0.73273396000000002</v>
      </c>
      <c r="B194" s="1">
        <v>1238</v>
      </c>
      <c r="C194" s="1">
        <v>26</v>
      </c>
      <c r="D194" s="1">
        <v>1454</v>
      </c>
      <c r="E194" s="1">
        <v>50320</v>
      </c>
      <c r="F194" s="1">
        <v>50320</v>
      </c>
      <c r="G194" s="1" t="s">
        <v>23</v>
      </c>
      <c r="H194" s="1">
        <v>0.120754717</v>
      </c>
      <c r="I194" s="1">
        <v>9.8113207999999993E-2</v>
      </c>
      <c r="J194" s="1">
        <v>0.181132075</v>
      </c>
      <c r="K194" s="1">
        <v>0.162264151</v>
      </c>
      <c r="L194" s="1">
        <v>0.43773584900000001</v>
      </c>
      <c r="M194" s="1" t="s">
        <v>16</v>
      </c>
      <c r="N194" s="1" t="s">
        <v>17</v>
      </c>
    </row>
    <row r="195" spans="1:14" ht="15.75" customHeight="1">
      <c r="A195" s="1">
        <v>0.70573294600000003</v>
      </c>
      <c r="B195" s="1">
        <v>910</v>
      </c>
      <c r="C195" s="1">
        <v>16</v>
      </c>
      <c r="D195" s="1">
        <v>1166</v>
      </c>
      <c r="E195" s="1">
        <v>38190</v>
      </c>
      <c r="F195" s="1">
        <v>38190</v>
      </c>
      <c r="G195" s="1" t="s">
        <v>23</v>
      </c>
      <c r="H195" s="1">
        <v>0.17028985499999999</v>
      </c>
      <c r="I195" s="1">
        <v>0.134057971</v>
      </c>
      <c r="J195" s="1">
        <v>0.21376811600000001</v>
      </c>
      <c r="K195" s="1">
        <v>0.18840579700000001</v>
      </c>
      <c r="L195" s="1">
        <v>0.29347826100000002</v>
      </c>
      <c r="M195" s="1" t="s">
        <v>16</v>
      </c>
      <c r="N195" s="1" t="s">
        <v>17</v>
      </c>
    </row>
    <row r="196" spans="1:14" ht="15.75" customHeight="1">
      <c r="A196" s="1">
        <v>0.78760445700000004</v>
      </c>
      <c r="B196" s="1">
        <v>1120</v>
      </c>
      <c r="C196" s="1">
        <v>22</v>
      </c>
      <c r="D196" s="1">
        <v>1135</v>
      </c>
      <c r="E196" s="1">
        <v>39070</v>
      </c>
      <c r="F196" s="1">
        <v>39070</v>
      </c>
      <c r="G196" s="1" t="s">
        <v>23</v>
      </c>
      <c r="H196" s="1">
        <v>0.18954248400000001</v>
      </c>
      <c r="I196" s="1">
        <v>5.8823528999999999E-2</v>
      </c>
      <c r="J196" s="1">
        <v>0.14379085</v>
      </c>
      <c r="K196" s="1">
        <v>0.209150327</v>
      </c>
      <c r="L196" s="1">
        <v>0.39869281000000001</v>
      </c>
      <c r="M196" s="1" t="s">
        <v>16</v>
      </c>
      <c r="N196" s="1" t="s">
        <v>17</v>
      </c>
    </row>
    <row r="197" spans="1:14" ht="15.75" customHeight="1">
      <c r="A197" s="1">
        <v>0.44444444399999999</v>
      </c>
      <c r="B197" s="1">
        <v>980</v>
      </c>
      <c r="C197" s="1">
        <v>18</v>
      </c>
      <c r="D197" s="1">
        <v>192</v>
      </c>
      <c r="E197" s="1">
        <v>20940</v>
      </c>
      <c r="F197" s="1">
        <v>20940</v>
      </c>
      <c r="G197" s="1" t="s">
        <v>23</v>
      </c>
      <c r="H197" s="1">
        <v>0</v>
      </c>
      <c r="I197" s="1">
        <v>0</v>
      </c>
      <c r="J197" s="1">
        <v>0.66666666699999999</v>
      </c>
      <c r="K197" s="1">
        <v>0.33333333300000001</v>
      </c>
      <c r="L197" s="1">
        <v>0</v>
      </c>
      <c r="M197" s="1" t="s">
        <v>16</v>
      </c>
      <c r="N197" s="1" t="s">
        <v>17</v>
      </c>
    </row>
    <row r="198" spans="1:14" ht="15.75" customHeight="1">
      <c r="A198" s="1">
        <v>0.88882138499999996</v>
      </c>
      <c r="B198" s="1">
        <v>1410</v>
      </c>
      <c r="C198" s="1">
        <v>31</v>
      </c>
      <c r="D198" s="1">
        <v>1130</v>
      </c>
      <c r="E198" s="1">
        <v>46212</v>
      </c>
      <c r="F198" s="1">
        <v>46212</v>
      </c>
      <c r="G198" s="1" t="s">
        <v>23</v>
      </c>
      <c r="H198" s="1">
        <v>0.15086206899999999</v>
      </c>
      <c r="I198" s="1">
        <v>0.11206896600000001</v>
      </c>
      <c r="J198" s="1">
        <v>0.18965517200000001</v>
      </c>
      <c r="K198" s="1">
        <v>0.16810344799999999</v>
      </c>
      <c r="L198" s="1">
        <v>0.37931034499999999</v>
      </c>
      <c r="M198" s="1" t="s">
        <v>16</v>
      </c>
      <c r="N198" s="1" t="s">
        <v>17</v>
      </c>
    </row>
    <row r="199" spans="1:14" ht="15.75" customHeight="1">
      <c r="A199" s="1">
        <v>0.93381294999999997</v>
      </c>
      <c r="B199" s="1">
        <v>929</v>
      </c>
      <c r="C199" s="1">
        <v>16</v>
      </c>
      <c r="D199" s="1">
        <v>2021</v>
      </c>
      <c r="E199" s="1">
        <v>19000</v>
      </c>
      <c r="F199" s="1">
        <v>19000</v>
      </c>
      <c r="G199" s="1" t="s">
        <v>23</v>
      </c>
      <c r="H199" s="1">
        <v>0.18</v>
      </c>
      <c r="I199" s="1">
        <v>0.14000000000000001</v>
      </c>
      <c r="J199" s="1">
        <v>0.146666667</v>
      </c>
      <c r="K199" s="1">
        <v>0.24</v>
      </c>
      <c r="L199" s="1">
        <v>0.29333333299999997</v>
      </c>
      <c r="M199" s="1" t="s">
        <v>16</v>
      </c>
      <c r="N199" s="1" t="s">
        <v>17</v>
      </c>
    </row>
    <row r="200" spans="1:14" ht="15.75" customHeight="1">
      <c r="A200" s="1">
        <v>0.99410145500000002</v>
      </c>
      <c r="B200" s="1">
        <v>1136</v>
      </c>
      <c r="C200" s="1">
        <v>23</v>
      </c>
      <c r="D200" s="1">
        <v>1446</v>
      </c>
      <c r="E200" s="1">
        <v>51040</v>
      </c>
      <c r="F200" s="1">
        <v>51040</v>
      </c>
      <c r="G200" s="1" t="s">
        <v>23</v>
      </c>
      <c r="H200" s="1">
        <v>0.118518519</v>
      </c>
      <c r="I200" s="1">
        <v>9.6296296000000003E-2</v>
      </c>
      <c r="J200" s="1">
        <v>0.10370370399999999</v>
      </c>
      <c r="K200" s="1">
        <v>0.24444444400000001</v>
      </c>
      <c r="L200" s="1">
        <v>0.43703703700000002</v>
      </c>
      <c r="M200" s="1" t="s">
        <v>16</v>
      </c>
      <c r="N200" s="1" t="s">
        <v>17</v>
      </c>
    </row>
    <row r="201" spans="1:14" ht="15.75" customHeight="1">
      <c r="A201" s="1">
        <v>0.57014388500000002</v>
      </c>
      <c r="B201" s="1">
        <v>996</v>
      </c>
      <c r="C201" s="1">
        <v>19</v>
      </c>
      <c r="D201" s="1">
        <v>1391</v>
      </c>
      <c r="E201" s="1">
        <v>28750</v>
      </c>
      <c r="F201" s="1">
        <v>28750</v>
      </c>
      <c r="G201" s="1" t="s">
        <v>23</v>
      </c>
      <c r="H201" s="1">
        <v>0.20134228200000001</v>
      </c>
      <c r="I201" s="1">
        <v>0.127516779</v>
      </c>
      <c r="J201" s="1">
        <v>0.120805369</v>
      </c>
      <c r="K201" s="1">
        <v>0.18791946300000001</v>
      </c>
      <c r="L201" s="1">
        <v>0.36241610699999999</v>
      </c>
      <c r="M201" s="1" t="s">
        <v>16</v>
      </c>
      <c r="N201" s="1" t="s">
        <v>17</v>
      </c>
    </row>
    <row r="202" spans="1:14" ht="15.75" customHeight="1">
      <c r="A202" s="1">
        <v>0.92096597099999999</v>
      </c>
      <c r="B202" s="1">
        <v>950</v>
      </c>
      <c r="C202" s="1">
        <v>17</v>
      </c>
      <c r="D202" s="1">
        <v>1080</v>
      </c>
      <c r="E202" s="1">
        <v>33900</v>
      </c>
      <c r="F202" s="1">
        <v>33900</v>
      </c>
      <c r="G202" s="1" t="s">
        <v>23</v>
      </c>
      <c r="H202" s="1">
        <v>0.21839080499999999</v>
      </c>
      <c r="I202" s="1">
        <v>0.12068965500000001</v>
      </c>
      <c r="J202" s="1">
        <v>0.17241379300000001</v>
      </c>
      <c r="K202" s="1">
        <v>0.17241379300000001</v>
      </c>
      <c r="L202" s="1">
        <v>0.31609195400000001</v>
      </c>
      <c r="M202" s="1" t="s">
        <v>16</v>
      </c>
      <c r="N202" s="1" t="s">
        <v>17</v>
      </c>
    </row>
    <row r="203" spans="1:14" ht="15.75" customHeight="1">
      <c r="A203" s="1">
        <v>0.76447552399999996</v>
      </c>
      <c r="B203" s="1">
        <v>1244</v>
      </c>
      <c r="C203" s="1">
        <v>26</v>
      </c>
      <c r="D203" s="1">
        <v>2236</v>
      </c>
      <c r="E203" s="1">
        <v>34800</v>
      </c>
      <c r="F203" s="1">
        <v>34800</v>
      </c>
      <c r="G203" s="1" t="s">
        <v>23</v>
      </c>
      <c r="H203" s="1">
        <v>9.7222221999999997E-2</v>
      </c>
      <c r="I203" s="1">
        <v>7.2222222000000003E-2</v>
      </c>
      <c r="J203" s="1">
        <v>0.108333333</v>
      </c>
      <c r="K203" s="1">
        <v>0.16666666699999999</v>
      </c>
      <c r="L203" s="1">
        <v>0.55555555599999995</v>
      </c>
      <c r="M203" s="1" t="s">
        <v>16</v>
      </c>
      <c r="N203" s="1" t="s">
        <v>17</v>
      </c>
    </row>
    <row r="204" spans="1:14" ht="15.75" customHeight="1">
      <c r="A204" s="1">
        <v>0.55643739000000003</v>
      </c>
      <c r="B204" s="1">
        <v>1014</v>
      </c>
      <c r="C204" s="1">
        <v>19</v>
      </c>
      <c r="D204" s="1">
        <v>1015</v>
      </c>
      <c r="E204" s="1">
        <v>32748</v>
      </c>
      <c r="F204" s="1">
        <v>32748</v>
      </c>
      <c r="G204" s="1" t="s">
        <v>23</v>
      </c>
      <c r="H204" s="1">
        <v>0.225941423</v>
      </c>
      <c r="I204" s="1">
        <v>0.12133891199999999</v>
      </c>
      <c r="J204" s="1">
        <v>0.12133891199999999</v>
      </c>
      <c r="K204" s="1">
        <v>0.19665272</v>
      </c>
      <c r="L204" s="1">
        <v>0.33472803299999998</v>
      </c>
      <c r="M204" s="1" t="s">
        <v>16</v>
      </c>
      <c r="N204" s="1" t="s">
        <v>17</v>
      </c>
    </row>
    <row r="205" spans="1:14" ht="15.75" customHeight="1">
      <c r="A205" s="1">
        <v>1</v>
      </c>
      <c r="B205" s="1">
        <v>1020</v>
      </c>
      <c r="C205" s="1">
        <v>19</v>
      </c>
      <c r="D205" s="1">
        <v>132</v>
      </c>
      <c r="E205" s="1">
        <v>18424</v>
      </c>
      <c r="F205" s="1">
        <v>18424</v>
      </c>
      <c r="G205" s="1" t="s">
        <v>23</v>
      </c>
      <c r="H205" s="1">
        <v>0.17391304299999999</v>
      </c>
      <c r="I205" s="1">
        <v>8.6956521999999994E-2</v>
      </c>
      <c r="J205" s="1">
        <v>0.21739130400000001</v>
      </c>
      <c r="K205" s="1">
        <v>0.30434782599999999</v>
      </c>
      <c r="L205" s="1">
        <v>0.21739130400000001</v>
      </c>
      <c r="M205" s="1" t="s">
        <v>16</v>
      </c>
      <c r="N205" s="1" t="s">
        <v>17</v>
      </c>
    </row>
    <row r="206" spans="1:14" ht="15.75" customHeight="1">
      <c r="A206" s="1">
        <v>0.83788254799999995</v>
      </c>
      <c r="B206" s="1">
        <v>1068</v>
      </c>
      <c r="C206" s="1">
        <v>21</v>
      </c>
      <c r="D206" s="1">
        <v>786</v>
      </c>
      <c r="E206" s="1">
        <v>35162</v>
      </c>
      <c r="F206" s="1">
        <v>35162</v>
      </c>
      <c r="G206" s="1" t="s">
        <v>23</v>
      </c>
      <c r="H206" s="1">
        <v>0.24083769599999999</v>
      </c>
      <c r="I206" s="1">
        <v>0.13089005200000001</v>
      </c>
      <c r="J206" s="1">
        <v>0.16753926699999999</v>
      </c>
      <c r="K206" s="1">
        <v>0.24083769599999999</v>
      </c>
      <c r="L206" s="1">
        <v>0.21989528799999999</v>
      </c>
      <c r="M206" s="1" t="s">
        <v>16</v>
      </c>
      <c r="N206" s="1" t="s">
        <v>17</v>
      </c>
    </row>
    <row r="207" spans="1:14" ht="15.75" customHeight="1">
      <c r="A207" s="1">
        <v>0.73456221200000005</v>
      </c>
      <c r="B207" s="1">
        <v>1016</v>
      </c>
      <c r="C207" s="1">
        <v>19</v>
      </c>
      <c r="D207" s="1">
        <v>977</v>
      </c>
      <c r="E207" s="1">
        <v>36120</v>
      </c>
      <c r="F207" s="1">
        <v>36120</v>
      </c>
      <c r="G207" s="1" t="s">
        <v>23</v>
      </c>
      <c r="H207" s="1">
        <v>0.17341040499999999</v>
      </c>
      <c r="I207" s="1">
        <v>0.184971098</v>
      </c>
      <c r="J207" s="1">
        <v>0.13872832399999999</v>
      </c>
      <c r="K207" s="1">
        <v>0.23699422000000001</v>
      </c>
      <c r="L207" s="1">
        <v>0.26589595399999999</v>
      </c>
      <c r="M207" s="1" t="s">
        <v>16</v>
      </c>
      <c r="N207" s="1" t="s">
        <v>17</v>
      </c>
    </row>
    <row r="208" spans="1:14" ht="15.75" customHeight="1">
      <c r="A208" s="1">
        <v>0.690260133</v>
      </c>
      <c r="B208" s="1">
        <v>1011</v>
      </c>
      <c r="C208" s="1">
        <v>19</v>
      </c>
      <c r="D208" s="1">
        <v>935</v>
      </c>
      <c r="E208" s="1">
        <v>35300</v>
      </c>
      <c r="F208" s="1">
        <v>35300</v>
      </c>
      <c r="G208" s="1" t="s">
        <v>23</v>
      </c>
      <c r="H208" s="1">
        <v>0.12033194999999999</v>
      </c>
      <c r="I208" s="1">
        <v>0.124481328</v>
      </c>
      <c r="J208" s="1">
        <v>0.17012448099999999</v>
      </c>
      <c r="K208" s="1">
        <v>0.18257261399999999</v>
      </c>
      <c r="L208" s="1">
        <v>0.40248962700000002</v>
      </c>
      <c r="M208" s="1" t="s">
        <v>16</v>
      </c>
      <c r="N208" s="1" t="s">
        <v>17</v>
      </c>
    </row>
    <row r="209" spans="1:14" ht="15.75" customHeight="1">
      <c r="A209" s="1">
        <v>0.89841798500000003</v>
      </c>
      <c r="B209" s="1">
        <v>1047</v>
      </c>
      <c r="C209" s="1">
        <v>20</v>
      </c>
      <c r="D209" s="1">
        <v>889</v>
      </c>
      <c r="E209" s="1">
        <v>33890</v>
      </c>
      <c r="F209" s="1">
        <v>33890</v>
      </c>
      <c r="G209" s="1" t="s">
        <v>23</v>
      </c>
      <c r="H209" s="1">
        <v>0.255434783</v>
      </c>
      <c r="I209" s="1">
        <v>0.141304348</v>
      </c>
      <c r="J209" s="1">
        <v>0.114130435</v>
      </c>
      <c r="K209" s="1">
        <v>0.14673913</v>
      </c>
      <c r="L209" s="1">
        <v>0.34239130400000001</v>
      </c>
      <c r="M209" s="1" t="s">
        <v>16</v>
      </c>
      <c r="N209" s="1" t="s">
        <v>17</v>
      </c>
    </row>
    <row r="210" spans="1:14" ht="15.75" customHeight="1">
      <c r="A210" s="1">
        <v>0.64615384600000003</v>
      </c>
      <c r="B210" s="1">
        <v>1049</v>
      </c>
      <c r="C210" s="1">
        <v>20</v>
      </c>
      <c r="D210" s="1">
        <v>530</v>
      </c>
      <c r="E210" s="1">
        <v>35050</v>
      </c>
      <c r="F210" s="1">
        <v>35050</v>
      </c>
      <c r="G210" s="1" t="s">
        <v>23</v>
      </c>
      <c r="H210" s="1">
        <v>0.30909090900000002</v>
      </c>
      <c r="I210" s="1">
        <v>0.13636363600000001</v>
      </c>
      <c r="J210" s="1">
        <v>0.127272727</v>
      </c>
      <c r="K210" s="1">
        <v>0.18181818199999999</v>
      </c>
      <c r="L210" s="1">
        <v>0.245454545</v>
      </c>
      <c r="M210" s="1" t="s">
        <v>16</v>
      </c>
      <c r="N210" s="1" t="s">
        <v>17</v>
      </c>
    </row>
    <row r="211" spans="1:14" ht="15.75" customHeight="1">
      <c r="A211" s="1">
        <v>0.85569214299999996</v>
      </c>
      <c r="B211" s="1">
        <v>980</v>
      </c>
      <c r="C211" s="1">
        <v>18</v>
      </c>
      <c r="D211" s="1">
        <v>528</v>
      </c>
      <c r="E211" s="1">
        <v>14080</v>
      </c>
      <c r="F211" s="1">
        <v>14080</v>
      </c>
      <c r="G211" s="1" t="s">
        <v>23</v>
      </c>
      <c r="H211" s="1">
        <v>0.45806451599999998</v>
      </c>
      <c r="I211" s="1">
        <v>0.122580645</v>
      </c>
      <c r="J211" s="1">
        <v>0.15483870999999999</v>
      </c>
      <c r="K211" s="1">
        <v>0.12903225800000001</v>
      </c>
      <c r="L211" s="1">
        <v>0.13548387100000001</v>
      </c>
      <c r="M211" s="1" t="s">
        <v>16</v>
      </c>
      <c r="N211" s="1" t="s">
        <v>17</v>
      </c>
    </row>
    <row r="212" spans="1:14" ht="15.75" customHeight="1">
      <c r="A212" s="1">
        <v>0.93587521699999998</v>
      </c>
      <c r="B212" s="1">
        <v>1208</v>
      </c>
      <c r="C212" s="1">
        <v>25</v>
      </c>
      <c r="D212" s="1">
        <v>2286</v>
      </c>
      <c r="E212" s="1">
        <v>47180</v>
      </c>
      <c r="F212" s="1">
        <v>47180</v>
      </c>
      <c r="G212" s="1" t="s">
        <v>23</v>
      </c>
      <c r="H212" s="1">
        <v>0.204918033</v>
      </c>
      <c r="I212" s="1">
        <v>0.133879781</v>
      </c>
      <c r="J212" s="1">
        <v>0.155737705</v>
      </c>
      <c r="K212" s="1">
        <v>0.19125683099999999</v>
      </c>
      <c r="L212" s="1">
        <v>0.31420765</v>
      </c>
      <c r="M212" s="1" t="s">
        <v>16</v>
      </c>
      <c r="N212" s="1" t="s">
        <v>17</v>
      </c>
    </row>
    <row r="213" spans="1:14" ht="15.75" customHeight="1">
      <c r="A213" s="1">
        <v>0.32706222899999998</v>
      </c>
      <c r="B213" s="1">
        <v>1248</v>
      </c>
      <c r="C213" s="1">
        <v>26</v>
      </c>
      <c r="D213" s="1">
        <v>1472</v>
      </c>
      <c r="E213" s="1">
        <v>49326</v>
      </c>
      <c r="F213" s="1">
        <v>49326</v>
      </c>
      <c r="G213" s="1" t="s">
        <v>23</v>
      </c>
      <c r="H213" s="1">
        <v>0.517027864</v>
      </c>
      <c r="I213" s="1">
        <v>0.22291021699999999</v>
      </c>
      <c r="J213" s="1">
        <v>0.229102167</v>
      </c>
      <c r="K213" s="1">
        <v>3.0959752E-2</v>
      </c>
      <c r="L213" s="1">
        <v>0</v>
      </c>
      <c r="M213" s="1" t="s">
        <v>16</v>
      </c>
      <c r="N213" s="1" t="s">
        <v>17</v>
      </c>
    </row>
    <row r="214" spans="1:14" ht="15.75" customHeight="1">
      <c r="A214" s="1">
        <v>0.54339739600000003</v>
      </c>
      <c r="B214" s="1">
        <v>1345</v>
      </c>
      <c r="C214" s="1">
        <v>29</v>
      </c>
      <c r="D214" s="1">
        <v>1346</v>
      </c>
      <c r="E214" s="1">
        <v>50550</v>
      </c>
      <c r="F214" s="1">
        <v>50550</v>
      </c>
      <c r="G214" s="1" t="s">
        <v>23</v>
      </c>
      <c r="H214" s="1">
        <v>0.145539906</v>
      </c>
      <c r="I214" s="1">
        <v>9.3896714000000006E-2</v>
      </c>
      <c r="J214" s="1">
        <v>0.145539906</v>
      </c>
      <c r="K214" s="1">
        <v>0.20187793400000001</v>
      </c>
      <c r="L214" s="1">
        <v>0.41314553999999998</v>
      </c>
      <c r="M214" s="1" t="s">
        <v>16</v>
      </c>
      <c r="N214" s="1" t="s">
        <v>17</v>
      </c>
    </row>
    <row r="215" spans="1:14" ht="15.75" customHeight="1">
      <c r="A215" s="1">
        <v>0.73884297499999996</v>
      </c>
      <c r="B215" s="1">
        <v>1149</v>
      </c>
      <c r="C215" s="1">
        <v>23</v>
      </c>
      <c r="D215" s="1">
        <v>1180</v>
      </c>
      <c r="E215" s="1">
        <v>42010</v>
      </c>
      <c r="F215" s="1">
        <v>42010</v>
      </c>
      <c r="G215" s="1" t="s">
        <v>23</v>
      </c>
      <c r="H215" s="1">
        <v>0.210714286</v>
      </c>
      <c r="I215" s="1">
        <v>0.139285714</v>
      </c>
      <c r="J215" s="1">
        <v>0.17499999999999999</v>
      </c>
      <c r="K215" s="1">
        <v>0.203571429</v>
      </c>
      <c r="L215" s="1">
        <v>0.27142857100000001</v>
      </c>
      <c r="M215" s="1" t="s">
        <v>16</v>
      </c>
      <c r="N215" s="1" t="s">
        <v>17</v>
      </c>
    </row>
    <row r="216" spans="1:14" ht="15.75" customHeight="1">
      <c r="A216" s="1">
        <v>0.35714285699999998</v>
      </c>
      <c r="B216" s="1">
        <v>980</v>
      </c>
      <c r="C216" s="1">
        <v>18</v>
      </c>
      <c r="D216" s="1">
        <v>72</v>
      </c>
      <c r="E216" s="1">
        <v>10060</v>
      </c>
      <c r="F216" s="1">
        <v>10060</v>
      </c>
      <c r="G216" s="1" t="s">
        <v>23</v>
      </c>
      <c r="H216" s="1">
        <v>0.5</v>
      </c>
      <c r="I216" s="1">
        <v>0.2</v>
      </c>
      <c r="J216" s="1">
        <v>0.1</v>
      </c>
      <c r="K216" s="1">
        <v>0.1</v>
      </c>
      <c r="L216" s="1">
        <v>0.1</v>
      </c>
      <c r="M216" s="1" t="s">
        <v>16</v>
      </c>
      <c r="N216" s="1" t="s">
        <v>17</v>
      </c>
    </row>
    <row r="217" spans="1:14" ht="15.75" customHeight="1">
      <c r="A217" s="1">
        <v>0.66998506700000005</v>
      </c>
      <c r="B217" s="1">
        <v>1043</v>
      </c>
      <c r="C217" s="1">
        <v>20</v>
      </c>
      <c r="D217" s="1">
        <v>794</v>
      </c>
      <c r="E217" s="1">
        <v>33393</v>
      </c>
      <c r="F217" s="1">
        <v>33393</v>
      </c>
      <c r="G217" s="1" t="s">
        <v>23</v>
      </c>
      <c r="H217" s="1">
        <v>0.33121019099999999</v>
      </c>
      <c r="I217" s="1">
        <v>0.146496815</v>
      </c>
      <c r="J217" s="1">
        <v>0.16560509600000001</v>
      </c>
      <c r="K217" s="1">
        <v>0.15286624200000001</v>
      </c>
      <c r="L217" s="1">
        <v>0.20382165599999999</v>
      </c>
      <c r="M217" s="1" t="s">
        <v>16</v>
      </c>
      <c r="N217" s="1" t="s">
        <v>17</v>
      </c>
    </row>
    <row r="218" spans="1:14" ht="15.75" customHeight="1">
      <c r="A218" s="1">
        <v>0.62382864800000004</v>
      </c>
      <c r="B218" s="1">
        <v>1044</v>
      </c>
      <c r="C218" s="1">
        <v>20</v>
      </c>
      <c r="D218" s="1">
        <v>438</v>
      </c>
      <c r="E218" s="1">
        <v>25000</v>
      </c>
      <c r="F218" s="1">
        <v>25000</v>
      </c>
      <c r="G218" s="1" t="s">
        <v>23</v>
      </c>
      <c r="H218" s="1">
        <v>0.26595744700000001</v>
      </c>
      <c r="I218" s="1">
        <v>0.14893617000000001</v>
      </c>
      <c r="J218" s="1">
        <v>7.4468085000000003E-2</v>
      </c>
      <c r="K218" s="1">
        <v>0.23404255299999999</v>
      </c>
      <c r="L218" s="1">
        <v>0.276595745</v>
      </c>
      <c r="M218" s="1" t="s">
        <v>16</v>
      </c>
      <c r="N218" s="1" t="s">
        <v>17</v>
      </c>
    </row>
    <row r="219" spans="1:14" ht="15.75" customHeight="1">
      <c r="A219" s="1">
        <v>0.951785714</v>
      </c>
      <c r="B219" s="1">
        <v>1145</v>
      </c>
      <c r="C219" s="1">
        <v>23</v>
      </c>
      <c r="D219" s="1">
        <v>1250</v>
      </c>
      <c r="E219" s="1">
        <v>26080</v>
      </c>
      <c r="F219" s="1">
        <v>26080</v>
      </c>
      <c r="G219" s="1" t="s">
        <v>23</v>
      </c>
      <c r="H219" s="1">
        <v>0.29834254100000002</v>
      </c>
      <c r="I219" s="1">
        <v>0.16022099400000001</v>
      </c>
      <c r="J219" s="1">
        <v>0.127071823</v>
      </c>
      <c r="K219" s="1">
        <v>0.17679558000000001</v>
      </c>
      <c r="L219" s="1">
        <v>0.237569061</v>
      </c>
      <c r="M219" s="1" t="s">
        <v>16</v>
      </c>
      <c r="N219" s="1" t="s">
        <v>17</v>
      </c>
    </row>
    <row r="220" spans="1:14" ht="15.75" customHeight="1">
      <c r="A220" s="1">
        <v>0.98636926899999999</v>
      </c>
      <c r="B220" s="1">
        <v>1014</v>
      </c>
      <c r="C220" s="1">
        <v>19</v>
      </c>
      <c r="D220" s="1">
        <v>597</v>
      </c>
      <c r="E220" s="1">
        <v>27850</v>
      </c>
      <c r="F220" s="1">
        <v>27850</v>
      </c>
      <c r="G220" s="1" t="s">
        <v>23</v>
      </c>
      <c r="H220" s="1">
        <v>0.25</v>
      </c>
      <c r="I220" s="1">
        <v>0.133928571</v>
      </c>
      <c r="J220" s="1">
        <v>0.16964285700000001</v>
      </c>
      <c r="K220" s="1">
        <v>0.16071428600000001</v>
      </c>
      <c r="L220" s="1">
        <v>0.28571428599999998</v>
      </c>
      <c r="M220" s="1" t="s">
        <v>16</v>
      </c>
      <c r="N220" s="1" t="s">
        <v>17</v>
      </c>
    </row>
    <row r="221" spans="1:14" ht="15.75" customHeight="1">
      <c r="A221" s="1">
        <v>0.97029703</v>
      </c>
      <c r="B221" s="1">
        <v>1140</v>
      </c>
      <c r="C221" s="1">
        <v>23</v>
      </c>
      <c r="D221" s="1">
        <v>1305</v>
      </c>
      <c r="E221" s="1">
        <v>38400</v>
      </c>
      <c r="F221" s="1">
        <v>38400</v>
      </c>
      <c r="G221" s="1" t="s">
        <v>23</v>
      </c>
      <c r="H221" s="1">
        <v>0.137724551</v>
      </c>
      <c r="I221" s="1">
        <v>8.3832334999999994E-2</v>
      </c>
      <c r="J221" s="1">
        <v>0.11377245499999999</v>
      </c>
      <c r="K221" s="1">
        <v>0.179640719</v>
      </c>
      <c r="L221" s="1">
        <v>0.48502993999999999</v>
      </c>
      <c r="M221" s="1" t="s">
        <v>16</v>
      </c>
      <c r="N221" s="1" t="s">
        <v>17</v>
      </c>
    </row>
    <row r="222" spans="1:14" ht="15.75" customHeight="1">
      <c r="A222" s="1">
        <v>0.84994964799999995</v>
      </c>
      <c r="B222" s="1">
        <v>1285</v>
      </c>
      <c r="C222" s="1">
        <v>27</v>
      </c>
      <c r="D222" s="1">
        <v>1014</v>
      </c>
      <c r="E222" s="1">
        <v>44980</v>
      </c>
      <c r="F222" s="1">
        <v>44980</v>
      </c>
      <c r="G222" s="1" t="s">
        <v>23</v>
      </c>
      <c r="H222" s="1">
        <v>0.14754098399999999</v>
      </c>
      <c r="I222" s="1">
        <v>0.13114754100000001</v>
      </c>
      <c r="J222" s="1">
        <v>0.180327869</v>
      </c>
      <c r="K222" s="1">
        <v>0.19672131100000001</v>
      </c>
      <c r="L222" s="1">
        <v>0.344262295</v>
      </c>
      <c r="M222" s="1" t="s">
        <v>16</v>
      </c>
      <c r="N222" s="1" t="s">
        <v>17</v>
      </c>
    </row>
    <row r="223" spans="1:14" ht="15.75" customHeight="1">
      <c r="A223" s="1">
        <v>0.550359712</v>
      </c>
      <c r="B223" s="1">
        <v>965</v>
      </c>
      <c r="C223" s="1">
        <v>17</v>
      </c>
      <c r="D223" s="1">
        <v>736</v>
      </c>
      <c r="E223" s="1">
        <v>30946</v>
      </c>
      <c r="F223" s="1">
        <v>30946</v>
      </c>
      <c r="G223" s="1" t="s">
        <v>23</v>
      </c>
      <c r="H223" s="1">
        <v>0.41935483899999998</v>
      </c>
      <c r="I223" s="1">
        <v>0.141935484</v>
      </c>
      <c r="J223" s="1">
        <v>0.15483870999999999</v>
      </c>
      <c r="K223" s="1">
        <v>0.15483870999999999</v>
      </c>
      <c r="L223" s="1">
        <v>0.12903225800000001</v>
      </c>
      <c r="M223" s="1" t="s">
        <v>16</v>
      </c>
      <c r="N223" s="1" t="s">
        <v>17</v>
      </c>
    </row>
    <row r="224" spans="1:14" ht="15.75" customHeight="1">
      <c r="A224" s="1">
        <v>0.544165758</v>
      </c>
      <c r="B224" s="1">
        <v>1171</v>
      </c>
      <c r="C224" s="1">
        <v>24</v>
      </c>
      <c r="D224" s="1">
        <v>615</v>
      </c>
      <c r="E224" s="1">
        <v>40000</v>
      </c>
      <c r="F224" s="1">
        <v>40000</v>
      </c>
      <c r="G224" s="1" t="s">
        <v>23</v>
      </c>
      <c r="H224" s="1">
        <v>0.219858156</v>
      </c>
      <c r="I224" s="1">
        <v>0.13475177299999999</v>
      </c>
      <c r="J224" s="1">
        <v>0.17730496500000001</v>
      </c>
      <c r="K224" s="1">
        <v>0.17021276599999999</v>
      </c>
      <c r="L224" s="1">
        <v>0.29787234000000001</v>
      </c>
      <c r="M224" s="1" t="s">
        <v>16</v>
      </c>
      <c r="N224" s="1" t="s">
        <v>17</v>
      </c>
    </row>
    <row r="225" spans="1:14" ht="15.75" customHeight="1">
      <c r="A225" s="1">
        <v>0.40508369500000002</v>
      </c>
      <c r="B225" s="1">
        <v>1089</v>
      </c>
      <c r="C225" s="1">
        <v>21</v>
      </c>
      <c r="D225" s="1">
        <v>1111</v>
      </c>
      <c r="E225" s="1">
        <v>22194</v>
      </c>
      <c r="F225" s="1">
        <v>22194</v>
      </c>
      <c r="G225" s="1" t="s">
        <v>23</v>
      </c>
      <c r="H225" s="1">
        <v>0.46012269900000002</v>
      </c>
      <c r="I225" s="1">
        <v>0.19938650299999999</v>
      </c>
      <c r="J225" s="1">
        <v>0.12883435600000001</v>
      </c>
      <c r="K225" s="1">
        <v>8.5889570999999998E-2</v>
      </c>
      <c r="L225" s="1">
        <v>0.125766871</v>
      </c>
      <c r="M225" s="1" t="s">
        <v>16</v>
      </c>
      <c r="N225" s="1" t="s">
        <v>17</v>
      </c>
    </row>
    <row r="226" spans="1:14" ht="15.75" customHeight="1">
      <c r="A226" s="1">
        <v>0.74479600300000004</v>
      </c>
      <c r="B226" s="1">
        <v>1077</v>
      </c>
      <c r="C226" s="1">
        <v>21</v>
      </c>
      <c r="D226" s="1">
        <v>2534</v>
      </c>
      <c r="E226" s="1">
        <v>27868</v>
      </c>
      <c r="F226" s="1">
        <v>27868</v>
      </c>
      <c r="G226" s="1" t="s">
        <v>23</v>
      </c>
      <c r="H226" s="1">
        <v>0.37730061300000001</v>
      </c>
      <c r="I226" s="1">
        <v>0.211656442</v>
      </c>
      <c r="J226" s="1">
        <v>0.180981595</v>
      </c>
      <c r="K226" s="1">
        <v>9.8159509000000006E-2</v>
      </c>
      <c r="L226" s="1">
        <v>0.13190183999999999</v>
      </c>
      <c r="M226" s="1" t="s">
        <v>16</v>
      </c>
      <c r="N226" s="1" t="s">
        <v>17</v>
      </c>
    </row>
    <row r="227" spans="1:14" ht="15.75" customHeight="1">
      <c r="A227" s="1">
        <v>0.130245049</v>
      </c>
      <c r="B227" s="1">
        <v>1446</v>
      </c>
      <c r="C227" s="1">
        <v>32</v>
      </c>
      <c r="D227" s="1">
        <v>1753</v>
      </c>
      <c r="E227" s="1">
        <v>63478</v>
      </c>
      <c r="F227" s="1">
        <v>63478</v>
      </c>
      <c r="G227" s="1" t="s">
        <v>23</v>
      </c>
      <c r="H227" s="1">
        <v>0.129251701</v>
      </c>
      <c r="I227" s="1">
        <v>8.8435373999999997E-2</v>
      </c>
      <c r="J227" s="1">
        <v>0.129251701</v>
      </c>
      <c r="K227" s="1">
        <v>0.13605442200000001</v>
      </c>
      <c r="L227" s="1">
        <v>0.51700680300000001</v>
      </c>
      <c r="M227" s="1" t="s">
        <v>16</v>
      </c>
      <c r="N227" s="1" t="s">
        <v>17</v>
      </c>
    </row>
    <row r="228" spans="1:14" ht="15.75" customHeight="1">
      <c r="A228" s="1">
        <v>8.0156848000000003E-2</v>
      </c>
      <c r="B228" s="1">
        <v>1514</v>
      </c>
      <c r="C228" s="1">
        <v>34</v>
      </c>
      <c r="D228" s="1">
        <v>1846</v>
      </c>
      <c r="E228" s="1">
        <v>64910</v>
      </c>
      <c r="F228" s="1">
        <v>64910</v>
      </c>
      <c r="G228" s="1" t="s">
        <v>23</v>
      </c>
      <c r="H228" s="1">
        <v>0.20958083799999999</v>
      </c>
      <c r="I228" s="1">
        <v>0.14371257500000001</v>
      </c>
      <c r="J228" s="1">
        <v>0.155688623</v>
      </c>
      <c r="K228" s="1">
        <v>0.11377245499999999</v>
      </c>
      <c r="L228" s="1">
        <v>0.37724550899999998</v>
      </c>
      <c r="M228" s="1" t="s">
        <v>16</v>
      </c>
      <c r="N228" s="1" t="s">
        <v>17</v>
      </c>
    </row>
    <row r="229" spans="1:14" ht="15.75" customHeight="1">
      <c r="A229" s="1">
        <v>6.8312155999999999E-2</v>
      </c>
      <c r="B229" s="1">
        <v>1500</v>
      </c>
      <c r="C229" s="1">
        <v>33</v>
      </c>
      <c r="D229" s="1">
        <v>2282</v>
      </c>
      <c r="E229" s="1">
        <v>66600</v>
      </c>
      <c r="F229" s="1">
        <v>66600</v>
      </c>
      <c r="G229" s="1" t="s">
        <v>23</v>
      </c>
      <c r="H229" s="1">
        <v>0.111111111</v>
      </c>
      <c r="I229" s="1">
        <v>0.18253968300000001</v>
      </c>
      <c r="J229" s="1">
        <v>0.19047618999999999</v>
      </c>
      <c r="K229" s="1">
        <v>0.126984127</v>
      </c>
      <c r="L229" s="1">
        <v>0.38888888900000002</v>
      </c>
      <c r="M229" s="1" t="s">
        <v>16</v>
      </c>
      <c r="N229" s="1" t="s">
        <v>17</v>
      </c>
    </row>
    <row r="230" spans="1:14" ht="15.75" customHeight="1">
      <c r="A230" s="1">
        <v>0.72897727300000004</v>
      </c>
      <c r="B230" s="1">
        <v>1225</v>
      </c>
      <c r="C230" s="1">
        <v>27</v>
      </c>
      <c r="D230" s="1">
        <v>948</v>
      </c>
      <c r="E230" s="1">
        <v>51250</v>
      </c>
      <c r="F230" s="1">
        <v>51250</v>
      </c>
      <c r="G230" s="1" t="s">
        <v>23</v>
      </c>
      <c r="H230" s="1">
        <v>0.235294118</v>
      </c>
      <c r="I230" s="1">
        <v>0.15882352899999999</v>
      </c>
      <c r="J230" s="1">
        <v>0.15882352899999999</v>
      </c>
      <c r="K230" s="1">
        <v>0.15294117600000001</v>
      </c>
      <c r="L230" s="1">
        <v>0.29411764699999998</v>
      </c>
      <c r="M230" s="1" t="s">
        <v>16</v>
      </c>
      <c r="N230" s="1" t="s">
        <v>17</v>
      </c>
    </row>
    <row r="231" spans="1:14" ht="15.75" customHeight="1">
      <c r="A231" s="1">
        <v>0.76333398900000005</v>
      </c>
      <c r="B231" s="1">
        <v>1292</v>
      </c>
      <c r="C231" s="1">
        <v>30</v>
      </c>
      <c r="D231" s="1">
        <v>3975</v>
      </c>
      <c r="E231" s="1">
        <v>55480</v>
      </c>
      <c r="F231" s="1">
        <v>55480</v>
      </c>
      <c r="G231" s="1" t="s">
        <v>23</v>
      </c>
      <c r="H231" s="1">
        <v>0.11965812000000001</v>
      </c>
      <c r="I231" s="1">
        <v>9.2796092999999996E-2</v>
      </c>
      <c r="J231" s="1">
        <v>0.114774115</v>
      </c>
      <c r="K231" s="1">
        <v>0.15873015900000001</v>
      </c>
      <c r="L231" s="1">
        <v>0.51404151399999998</v>
      </c>
      <c r="M231" s="1" t="s">
        <v>16</v>
      </c>
      <c r="N231" s="1" t="s">
        <v>17</v>
      </c>
    </row>
    <row r="232" spans="1:14" ht="15.75" customHeight="1">
      <c r="A232" s="1">
        <v>0.77294531499999997</v>
      </c>
      <c r="B232" s="1">
        <v>1207</v>
      </c>
      <c r="C232" s="1">
        <v>28</v>
      </c>
      <c r="D232" s="1">
        <v>1319</v>
      </c>
      <c r="E232" s="1">
        <v>55150</v>
      </c>
      <c r="F232" s="1">
        <v>55150</v>
      </c>
      <c r="G232" s="1" t="s">
        <v>23</v>
      </c>
      <c r="H232" s="1">
        <v>0.242857143</v>
      </c>
      <c r="I232" s="1">
        <v>0.10714285699999999</v>
      </c>
      <c r="J232" s="1">
        <v>0.15</v>
      </c>
      <c r="K232" s="1">
        <v>0.10714285699999999</v>
      </c>
      <c r="L232" s="1">
        <v>0.39285714300000002</v>
      </c>
      <c r="M232" s="1" t="s">
        <v>16</v>
      </c>
      <c r="N232" s="1" t="s">
        <v>17</v>
      </c>
    </row>
    <row r="233" spans="1:14" ht="15.75" customHeight="1">
      <c r="A233" s="1">
        <v>0.71855403900000003</v>
      </c>
      <c r="B233" s="1">
        <v>1141</v>
      </c>
      <c r="C233" s="1">
        <v>23</v>
      </c>
      <c r="D233" s="1">
        <v>1806</v>
      </c>
      <c r="E233" s="1">
        <v>47240</v>
      </c>
      <c r="F233" s="1">
        <v>47240</v>
      </c>
      <c r="G233" s="1" t="s">
        <v>23</v>
      </c>
      <c r="H233" s="1">
        <v>0.189111748</v>
      </c>
      <c r="I233" s="1">
        <v>0.12320916899999999</v>
      </c>
      <c r="J233" s="1">
        <v>0.140401146</v>
      </c>
      <c r="K233" s="1">
        <v>0.12034383999999999</v>
      </c>
      <c r="L233" s="1">
        <v>0.42693409700000001</v>
      </c>
      <c r="M233" s="1" t="s">
        <v>16</v>
      </c>
      <c r="N233" s="1" t="s">
        <v>17</v>
      </c>
    </row>
    <row r="234" spans="1:14" ht="15.75" customHeight="1">
      <c r="A234" s="1">
        <v>0.44287063300000001</v>
      </c>
      <c r="B234" s="1">
        <v>1381</v>
      </c>
      <c r="C234" s="1">
        <v>31</v>
      </c>
      <c r="D234" s="1">
        <v>488</v>
      </c>
      <c r="E234" s="1">
        <v>39126</v>
      </c>
      <c r="F234" s="1">
        <v>39126</v>
      </c>
      <c r="G234" s="1" t="s">
        <v>23</v>
      </c>
      <c r="H234" s="1">
        <v>0.117647059</v>
      </c>
      <c r="I234" s="1">
        <v>0.16176470600000001</v>
      </c>
      <c r="J234" s="1">
        <v>0.17647058800000001</v>
      </c>
      <c r="K234" s="1">
        <v>0.19117647099999999</v>
      </c>
      <c r="L234" s="1">
        <v>0.35294117600000002</v>
      </c>
      <c r="M234" s="1" t="s">
        <v>16</v>
      </c>
      <c r="N234" s="1" t="s">
        <v>17</v>
      </c>
    </row>
    <row r="235" spans="1:14" ht="15.75" customHeight="1">
      <c r="A235" s="1">
        <v>0.655376132</v>
      </c>
      <c r="B235" s="1">
        <v>1274</v>
      </c>
      <c r="C235" s="1">
        <v>28</v>
      </c>
      <c r="D235" s="1">
        <v>890</v>
      </c>
      <c r="E235" s="1">
        <v>54356</v>
      </c>
      <c r="F235" s="1">
        <v>54356</v>
      </c>
      <c r="G235" s="1" t="s">
        <v>23</v>
      </c>
      <c r="H235" s="1">
        <v>0.14893617000000001</v>
      </c>
      <c r="I235" s="1">
        <v>0.106382979</v>
      </c>
      <c r="J235" s="1">
        <v>0.106382979</v>
      </c>
      <c r="K235" s="1">
        <v>0.113475177</v>
      </c>
      <c r="L235" s="1">
        <v>0.52482269500000001</v>
      </c>
      <c r="M235" s="1" t="s">
        <v>16</v>
      </c>
      <c r="N235" s="1" t="s">
        <v>17</v>
      </c>
    </row>
    <row r="236" spans="1:14" ht="15.75" customHeight="1">
      <c r="A236" s="1">
        <v>9.8216390000000001E-2</v>
      </c>
      <c r="B236" s="1">
        <v>1494</v>
      </c>
      <c r="C236" s="1">
        <v>33</v>
      </c>
      <c r="D236" s="1">
        <v>1907</v>
      </c>
      <c r="E236" s="1">
        <v>67280</v>
      </c>
      <c r="F236" s="1">
        <v>67280</v>
      </c>
      <c r="G236" s="1" t="s">
        <v>23</v>
      </c>
      <c r="H236" s="1">
        <v>0.29452054799999999</v>
      </c>
      <c r="I236" s="1">
        <v>0.17123287700000001</v>
      </c>
      <c r="J236" s="1">
        <v>0.178082192</v>
      </c>
      <c r="K236" s="1">
        <v>5.4794520999999999E-2</v>
      </c>
      <c r="L236" s="1">
        <v>0.30136986300000002</v>
      </c>
      <c r="M236" s="1" t="s">
        <v>16</v>
      </c>
      <c r="N236" s="1" t="s">
        <v>17</v>
      </c>
    </row>
    <row r="237" spans="1:14" ht="15.75" customHeight="1">
      <c r="A237" s="1">
        <v>0.197373358</v>
      </c>
      <c r="B237" s="1">
        <v>1435</v>
      </c>
      <c r="C237" s="1">
        <v>31</v>
      </c>
      <c r="D237" s="1">
        <v>2696</v>
      </c>
      <c r="E237" s="1">
        <v>56032</v>
      </c>
      <c r="F237" s="1">
        <v>56032</v>
      </c>
      <c r="G237" s="1" t="s">
        <v>23</v>
      </c>
      <c r="H237" s="1">
        <v>0.14814814800000001</v>
      </c>
      <c r="I237" s="1">
        <v>0.12037037</v>
      </c>
      <c r="J237" s="1">
        <v>0.16666666699999999</v>
      </c>
      <c r="K237" s="1">
        <v>0.12037037</v>
      </c>
      <c r="L237" s="1">
        <v>0.44444444399999999</v>
      </c>
      <c r="M237" s="1" t="s">
        <v>16</v>
      </c>
      <c r="N237" s="1" t="s">
        <v>17</v>
      </c>
    </row>
    <row r="238" spans="1:14" ht="15.75" customHeight="1">
      <c r="A238" s="1">
        <v>0.48435413100000002</v>
      </c>
      <c r="B238" s="1">
        <v>1340</v>
      </c>
      <c r="C238" s="1">
        <v>31</v>
      </c>
      <c r="D238" s="1">
        <v>4288</v>
      </c>
      <c r="E238" s="1">
        <v>58150</v>
      </c>
      <c r="F238" s="1">
        <v>58150</v>
      </c>
      <c r="G238" s="1" t="s">
        <v>23</v>
      </c>
      <c r="H238" s="1">
        <v>0.156862745</v>
      </c>
      <c r="I238" s="1">
        <v>8.1699346000000006E-2</v>
      </c>
      <c r="J238" s="1">
        <v>0.124183007</v>
      </c>
      <c r="K238" s="1">
        <v>0.12581699299999999</v>
      </c>
      <c r="L238" s="1">
        <v>0.511437908</v>
      </c>
      <c r="M238" s="1" t="s">
        <v>16</v>
      </c>
      <c r="N238" s="1" t="s">
        <v>17</v>
      </c>
    </row>
    <row r="239" spans="1:14" ht="15.75" customHeight="1">
      <c r="A239" s="1">
        <v>0.41668219899999998</v>
      </c>
      <c r="B239" s="1">
        <v>1339</v>
      </c>
      <c r="C239" s="1">
        <v>31</v>
      </c>
      <c r="D239" s="1">
        <v>2336</v>
      </c>
      <c r="E239" s="1">
        <v>55160</v>
      </c>
      <c r="F239" s="1">
        <v>55160</v>
      </c>
      <c r="G239" s="1" t="s">
        <v>23</v>
      </c>
      <c r="H239" s="1">
        <v>0.147321429</v>
      </c>
      <c r="I239" s="1">
        <v>0.116071429</v>
      </c>
      <c r="J239" s="1">
        <v>0.162946429</v>
      </c>
      <c r="K239" s="1">
        <v>0.15848214299999999</v>
      </c>
      <c r="L239" s="1">
        <v>0.415178571</v>
      </c>
      <c r="M239" s="1" t="s">
        <v>16</v>
      </c>
      <c r="N239" s="1" t="s">
        <v>17</v>
      </c>
    </row>
    <row r="240" spans="1:14" ht="15.75" customHeight="1">
      <c r="A240" s="1">
        <v>0.47484673599999999</v>
      </c>
      <c r="B240" s="1">
        <v>1359</v>
      </c>
      <c r="C240" s="1">
        <v>31</v>
      </c>
      <c r="D240" s="1">
        <v>4145</v>
      </c>
      <c r="E240" s="1">
        <v>55392</v>
      </c>
      <c r="F240" s="1">
        <v>55392</v>
      </c>
      <c r="G240" s="1" t="s">
        <v>23</v>
      </c>
      <c r="H240" s="1">
        <v>0.142585551</v>
      </c>
      <c r="I240" s="1">
        <v>9.3155894000000003E-2</v>
      </c>
      <c r="J240" s="1">
        <v>0.117870722</v>
      </c>
      <c r="K240" s="1">
        <v>0.13688212899999999</v>
      </c>
      <c r="L240" s="1">
        <v>0.50950570299999998</v>
      </c>
      <c r="M240" s="1" t="s">
        <v>16</v>
      </c>
      <c r="N240" s="1" t="s">
        <v>17</v>
      </c>
    </row>
    <row r="241" spans="1:14" ht="15.75" customHeight="1">
      <c r="A241" s="1">
        <v>0.805962607</v>
      </c>
      <c r="B241" s="1">
        <v>1263</v>
      </c>
      <c r="C241" s="1">
        <v>29</v>
      </c>
      <c r="D241" s="1">
        <v>1874</v>
      </c>
      <c r="E241" s="1">
        <v>46686</v>
      </c>
      <c r="F241" s="1">
        <v>46686</v>
      </c>
      <c r="G241" s="1" t="s">
        <v>23</v>
      </c>
      <c r="H241" s="1">
        <v>0.12285012300000001</v>
      </c>
      <c r="I241" s="1">
        <v>8.8452087999999998E-2</v>
      </c>
      <c r="J241" s="1">
        <v>0.14004913999999999</v>
      </c>
      <c r="K241" s="1">
        <v>0.14987714999999999</v>
      </c>
      <c r="L241" s="1">
        <v>0.49877149900000001</v>
      </c>
      <c r="M241" s="1" t="s">
        <v>16</v>
      </c>
      <c r="N241" s="1" t="s">
        <v>17</v>
      </c>
    </row>
    <row r="242" spans="1:14" ht="15.75" customHeight="1">
      <c r="A242" s="1">
        <v>0.72294138799999996</v>
      </c>
      <c r="B242" s="1">
        <v>1263</v>
      </c>
      <c r="C242" s="1">
        <v>27</v>
      </c>
      <c r="D242" s="1">
        <v>3101</v>
      </c>
      <c r="E242" s="1">
        <v>39212</v>
      </c>
      <c r="F242" s="1">
        <v>39212</v>
      </c>
      <c r="G242" s="1" t="s">
        <v>23</v>
      </c>
      <c r="H242" s="1">
        <v>6.4263322999999997E-2</v>
      </c>
      <c r="I242" s="1">
        <v>4.7021944000000003E-2</v>
      </c>
      <c r="J242" s="1">
        <v>9.4043887000000007E-2</v>
      </c>
      <c r="K242" s="1">
        <v>0.126959248</v>
      </c>
      <c r="L242" s="1">
        <v>0.66771159899999999</v>
      </c>
      <c r="M242" s="1" t="s">
        <v>16</v>
      </c>
      <c r="N242" s="1" t="s">
        <v>17</v>
      </c>
    </row>
    <row r="243" spans="1:14" ht="15.75" customHeight="1">
      <c r="A243" s="1">
        <v>0.58782473800000001</v>
      </c>
      <c r="B243" s="1">
        <v>1268</v>
      </c>
      <c r="C243" s="1">
        <v>28</v>
      </c>
      <c r="D243" s="1">
        <v>1247</v>
      </c>
      <c r="E243" s="1">
        <v>28100</v>
      </c>
      <c r="F243" s="1">
        <v>28100</v>
      </c>
      <c r="G243" s="1" t="s">
        <v>23</v>
      </c>
      <c r="H243" s="1">
        <v>0.14000000000000001</v>
      </c>
      <c r="I243" s="1">
        <v>0.05</v>
      </c>
      <c r="J243" s="1">
        <v>0.13500000000000001</v>
      </c>
      <c r="K243" s="1">
        <v>0.2</v>
      </c>
      <c r="L243" s="1">
        <v>0.47499999999999998</v>
      </c>
      <c r="M243" s="1" t="s">
        <v>16</v>
      </c>
      <c r="N243" s="1" t="s">
        <v>17</v>
      </c>
    </row>
    <row r="244" spans="1:14" ht="15.75" customHeight="1">
      <c r="A244" s="1">
        <v>0.210957324</v>
      </c>
      <c r="B244" s="1">
        <v>1354</v>
      </c>
      <c r="C244" s="1">
        <v>30</v>
      </c>
      <c r="D244" s="1">
        <v>3015</v>
      </c>
      <c r="E244" s="1">
        <v>60850</v>
      </c>
      <c r="F244" s="1">
        <v>60850</v>
      </c>
      <c r="G244" s="1" t="s">
        <v>23</v>
      </c>
      <c r="H244" s="1">
        <v>8.8471850000000005E-2</v>
      </c>
      <c r="I244" s="1">
        <v>7.7747989000000003E-2</v>
      </c>
      <c r="J244" s="1">
        <v>0.15549597900000001</v>
      </c>
      <c r="K244" s="1">
        <v>0.134048257</v>
      </c>
      <c r="L244" s="1">
        <v>0.54423592499999995</v>
      </c>
      <c r="M244" s="1" t="s">
        <v>16</v>
      </c>
      <c r="N244" s="1" t="s">
        <v>17</v>
      </c>
    </row>
    <row r="245" spans="1:14" ht="15.75" customHeight="1">
      <c r="A245" s="1">
        <v>0.82254901999999996</v>
      </c>
      <c r="B245" s="1">
        <v>1159</v>
      </c>
      <c r="C245" s="1">
        <v>21</v>
      </c>
      <c r="D245" s="1">
        <v>1152</v>
      </c>
      <c r="E245" s="1">
        <v>26000</v>
      </c>
      <c r="F245" s="1">
        <v>26000</v>
      </c>
      <c r="G245" s="1" t="s">
        <v>23</v>
      </c>
      <c r="H245" s="1">
        <v>0.19708029199999999</v>
      </c>
      <c r="I245" s="1">
        <v>0.167883212</v>
      </c>
      <c r="J245" s="1">
        <v>0.16423357699999999</v>
      </c>
      <c r="K245" s="1">
        <v>0.13503649600000001</v>
      </c>
      <c r="L245" s="1">
        <v>0.33576642299999998</v>
      </c>
      <c r="M245" s="1" t="s">
        <v>16</v>
      </c>
      <c r="N245" s="1" t="s">
        <v>17</v>
      </c>
    </row>
    <row r="246" spans="1:14" ht="15.75" customHeight="1">
      <c r="A246" s="1">
        <v>0.85207986700000005</v>
      </c>
      <c r="B246" s="1">
        <v>1216</v>
      </c>
      <c r="C246" s="1">
        <v>27</v>
      </c>
      <c r="D246" s="1">
        <v>3474</v>
      </c>
      <c r="E246" s="1">
        <v>38850</v>
      </c>
      <c r="F246" s="1">
        <v>38850</v>
      </c>
      <c r="G246" s="1" t="s">
        <v>23</v>
      </c>
      <c r="H246" s="1">
        <v>0.276051188</v>
      </c>
      <c r="I246" s="1">
        <v>0.17733089599999999</v>
      </c>
      <c r="J246" s="1">
        <v>0.14808043900000001</v>
      </c>
      <c r="K246" s="1">
        <v>0.14259597800000001</v>
      </c>
      <c r="L246" s="1">
        <v>0.25594149900000002</v>
      </c>
      <c r="M246" s="1" t="s">
        <v>16</v>
      </c>
      <c r="N246" s="1" t="s">
        <v>17</v>
      </c>
    </row>
    <row r="247" spans="1:14" ht="15.75" customHeight="1">
      <c r="A247" s="1">
        <v>0.38290258399999999</v>
      </c>
      <c r="B247" s="1">
        <v>1422</v>
      </c>
      <c r="C247" s="1">
        <v>32</v>
      </c>
      <c r="D247" s="1">
        <v>2198</v>
      </c>
      <c r="E247" s="1">
        <v>64142</v>
      </c>
      <c r="F247" s="1">
        <v>64142</v>
      </c>
      <c r="G247" s="1" t="s">
        <v>23</v>
      </c>
      <c r="H247" s="1">
        <v>0.13901345300000001</v>
      </c>
      <c r="I247" s="1">
        <v>0.12107623300000001</v>
      </c>
      <c r="J247" s="1">
        <v>0.210762332</v>
      </c>
      <c r="K247" s="1">
        <v>0.17937219700000001</v>
      </c>
      <c r="L247" s="1">
        <v>0.34977578500000001</v>
      </c>
      <c r="M247" s="1" t="s">
        <v>16</v>
      </c>
      <c r="N247" s="1" t="s">
        <v>17</v>
      </c>
    </row>
    <row r="248" spans="1:14" ht="15.75" customHeight="1">
      <c r="A248" s="1">
        <v>0.66002874199999995</v>
      </c>
      <c r="B248" s="1">
        <v>1332</v>
      </c>
      <c r="C248" s="1">
        <v>29</v>
      </c>
      <c r="D248" s="1">
        <v>1750</v>
      </c>
      <c r="E248" s="1">
        <v>45538</v>
      </c>
      <c r="F248" s="1">
        <v>45538</v>
      </c>
      <c r="G248" s="1" t="s">
        <v>23</v>
      </c>
      <c r="H248" s="1">
        <v>0.14695340500000001</v>
      </c>
      <c r="I248" s="1">
        <v>0.111111111</v>
      </c>
      <c r="J248" s="1">
        <v>0.172043011</v>
      </c>
      <c r="K248" s="1">
        <v>0.168458781</v>
      </c>
      <c r="L248" s="1">
        <v>0.40143369200000001</v>
      </c>
      <c r="M248" s="1" t="s">
        <v>16</v>
      </c>
      <c r="N248" s="1" t="s">
        <v>17</v>
      </c>
    </row>
    <row r="249" spans="1:14" ht="15.75" customHeight="1">
      <c r="A249" s="1">
        <v>0.19728442600000001</v>
      </c>
      <c r="B249" s="1">
        <v>1480</v>
      </c>
      <c r="C249" s="1">
        <v>33</v>
      </c>
      <c r="D249" s="1">
        <v>2501</v>
      </c>
      <c r="E249" s="1">
        <v>61568</v>
      </c>
      <c r="F249" s="1">
        <v>61568</v>
      </c>
      <c r="G249" s="1" t="s">
        <v>23</v>
      </c>
      <c r="H249" s="1">
        <v>0.103139013</v>
      </c>
      <c r="I249" s="1">
        <v>8.9686099000000005E-2</v>
      </c>
      <c r="J249" s="1">
        <v>0.147982063</v>
      </c>
      <c r="K249" s="1">
        <v>0.15246636799999999</v>
      </c>
      <c r="L249" s="1">
        <v>0.50672645699999996</v>
      </c>
      <c r="M249" s="1" t="s">
        <v>16</v>
      </c>
      <c r="N249" s="1" t="s">
        <v>17</v>
      </c>
    </row>
    <row r="250" spans="1:14" ht="15.75" customHeight="1">
      <c r="A250" s="1">
        <v>0.847440847</v>
      </c>
      <c r="B250" s="1">
        <v>1197</v>
      </c>
      <c r="C250" s="1">
        <v>26</v>
      </c>
      <c r="D250" s="1">
        <v>4434</v>
      </c>
      <c r="E250" s="1">
        <v>45380</v>
      </c>
      <c r="F250" s="1">
        <v>45380</v>
      </c>
      <c r="G250" s="1" t="s">
        <v>23</v>
      </c>
      <c r="H250" s="1">
        <v>0.18254879399999999</v>
      </c>
      <c r="I250" s="1">
        <v>0.14121699200000001</v>
      </c>
      <c r="J250" s="1">
        <v>0.1836969</v>
      </c>
      <c r="K250" s="1">
        <v>0.15729047099999999</v>
      </c>
      <c r="L250" s="1">
        <v>0.33524684300000002</v>
      </c>
      <c r="M250" s="1" t="s">
        <v>16</v>
      </c>
      <c r="N250" s="1" t="s">
        <v>17</v>
      </c>
    </row>
    <row r="251" spans="1:14" ht="15.75" customHeight="1">
      <c r="A251" s="1">
        <v>0.139051808</v>
      </c>
      <c r="B251" s="1">
        <v>1513</v>
      </c>
      <c r="C251" s="1">
        <v>34</v>
      </c>
      <c r="D251" s="1">
        <v>2318</v>
      </c>
      <c r="E251" s="1">
        <v>64320</v>
      </c>
      <c r="F251" s="1">
        <v>64320</v>
      </c>
      <c r="G251" s="1" t="s">
        <v>23</v>
      </c>
      <c r="H251" s="1">
        <v>0.23318385699999999</v>
      </c>
      <c r="I251" s="1">
        <v>0.12107623300000001</v>
      </c>
      <c r="J251" s="1">
        <v>0.16143497800000001</v>
      </c>
      <c r="K251" s="1">
        <v>0.125560538</v>
      </c>
      <c r="L251" s="1">
        <v>0.35874439499999999</v>
      </c>
      <c r="M251" s="1" t="s">
        <v>16</v>
      </c>
      <c r="N251" s="1" t="s">
        <v>17</v>
      </c>
    </row>
    <row r="252" spans="1:14" ht="15.75" customHeight="1">
      <c r="A252" s="1">
        <v>0.85371145199999998</v>
      </c>
      <c r="B252" s="1">
        <v>1226</v>
      </c>
      <c r="C252" s="1">
        <v>27</v>
      </c>
      <c r="D252" s="1">
        <v>3641</v>
      </c>
      <c r="E252" s="1">
        <v>41010</v>
      </c>
      <c r="F252" s="1">
        <v>41010</v>
      </c>
      <c r="G252" s="1" t="s">
        <v>23</v>
      </c>
      <c r="H252" s="1">
        <v>0.13425129099999999</v>
      </c>
      <c r="I252" s="1">
        <v>0.104991394</v>
      </c>
      <c r="J252" s="1">
        <v>0.13425129099999999</v>
      </c>
      <c r="K252" s="1">
        <v>0.154905336</v>
      </c>
      <c r="L252" s="1">
        <v>0.47160068799999999</v>
      </c>
      <c r="M252" s="1" t="s">
        <v>16</v>
      </c>
      <c r="N252" s="1" t="s">
        <v>17</v>
      </c>
    </row>
    <row r="253" spans="1:14" ht="15.75" customHeight="1">
      <c r="A253" s="1">
        <v>0.832568105</v>
      </c>
      <c r="B253" s="1">
        <v>1231</v>
      </c>
      <c r="C253" s="1">
        <v>26</v>
      </c>
      <c r="D253" s="1">
        <v>2508</v>
      </c>
      <c r="E253" s="1">
        <v>46430</v>
      </c>
      <c r="F253" s="1">
        <v>46430</v>
      </c>
      <c r="G253" s="1" t="s">
        <v>23</v>
      </c>
      <c r="H253" s="1">
        <v>0.112338858</v>
      </c>
      <c r="I253" s="1">
        <v>9.7605892999999999E-2</v>
      </c>
      <c r="J253" s="1">
        <v>0.130755064</v>
      </c>
      <c r="K253" s="1">
        <v>0.16206261499999999</v>
      </c>
      <c r="L253" s="1">
        <v>0.49723756899999999</v>
      </c>
      <c r="M253" s="1" t="s">
        <v>16</v>
      </c>
      <c r="N253" s="1" t="s">
        <v>17</v>
      </c>
    </row>
    <row r="254" spans="1:14" ht="15.75" customHeight="1">
      <c r="A254" s="1">
        <v>0.71331348400000005</v>
      </c>
      <c r="B254" s="1">
        <v>1321</v>
      </c>
      <c r="C254" s="1">
        <v>31</v>
      </c>
      <c r="D254" s="1">
        <v>1744</v>
      </c>
      <c r="E254" s="1">
        <v>62080</v>
      </c>
      <c r="F254" s="1">
        <v>62080</v>
      </c>
      <c r="G254" s="1" t="s">
        <v>23</v>
      </c>
      <c r="H254" s="1">
        <v>0.103797468</v>
      </c>
      <c r="I254" s="1">
        <v>5.5696203E-2</v>
      </c>
      <c r="J254" s="1">
        <v>0.116455696</v>
      </c>
      <c r="K254" s="1">
        <v>0.17974683499999999</v>
      </c>
      <c r="L254" s="1">
        <v>0.54430379699999998</v>
      </c>
      <c r="M254" s="1" t="s">
        <v>16</v>
      </c>
      <c r="N254" s="1" t="s">
        <v>17</v>
      </c>
    </row>
    <row r="255" spans="1:14" ht="15.75" customHeight="1">
      <c r="A255" s="1">
        <v>9.9869166999999995E-2</v>
      </c>
      <c r="B255" s="1">
        <v>1527</v>
      </c>
      <c r="C255" s="1">
        <v>34</v>
      </c>
      <c r="D255" s="1">
        <v>2060</v>
      </c>
      <c r="E255" s="1">
        <v>64860</v>
      </c>
      <c r="F255" s="1">
        <v>64860</v>
      </c>
      <c r="G255" s="1" t="s">
        <v>23</v>
      </c>
      <c r="H255" s="1">
        <v>0.22818791899999999</v>
      </c>
      <c r="I255" s="1">
        <v>0.167785235</v>
      </c>
      <c r="J255" s="1">
        <v>0.22147650999999999</v>
      </c>
      <c r="K255" s="1">
        <v>7.3825503000000001E-2</v>
      </c>
      <c r="L255" s="1">
        <v>0.308724832</v>
      </c>
      <c r="M255" s="1" t="s">
        <v>16</v>
      </c>
      <c r="N255" s="1" t="s">
        <v>17</v>
      </c>
    </row>
    <row r="256" spans="1:14" ht="15.75" customHeight="1">
      <c r="A256" s="1">
        <v>0.68369351700000003</v>
      </c>
      <c r="B256" s="1">
        <v>1030</v>
      </c>
      <c r="C256" s="1">
        <v>23</v>
      </c>
      <c r="D256" s="1">
        <v>1635</v>
      </c>
      <c r="E256" s="1">
        <v>40556</v>
      </c>
      <c r="F256" s="1">
        <v>40556</v>
      </c>
      <c r="G256" s="1" t="s">
        <v>23</v>
      </c>
      <c r="H256" s="1">
        <v>0.21028037399999999</v>
      </c>
      <c r="I256" s="1">
        <v>0.126168224</v>
      </c>
      <c r="J256" s="1">
        <v>0.16121495299999999</v>
      </c>
      <c r="K256" s="1">
        <v>0.151869159</v>
      </c>
      <c r="L256" s="1">
        <v>0.35046728999999999</v>
      </c>
      <c r="M256" s="1" t="s">
        <v>16</v>
      </c>
      <c r="N256" s="1" t="s">
        <v>17</v>
      </c>
    </row>
    <row r="257" spans="1:14" ht="15.75" customHeight="1">
      <c r="A257" s="1">
        <v>0.87402799399999997</v>
      </c>
      <c r="B257" s="1">
        <v>1177</v>
      </c>
      <c r="C257" s="1">
        <v>23</v>
      </c>
      <c r="D257" s="1">
        <v>1262</v>
      </c>
      <c r="E257" s="1">
        <v>33710</v>
      </c>
      <c r="F257" s="1">
        <v>33710</v>
      </c>
      <c r="G257" s="1" t="s">
        <v>23</v>
      </c>
      <c r="H257" s="1">
        <v>0.20353982300000001</v>
      </c>
      <c r="I257" s="1">
        <v>0.10619468999999999</v>
      </c>
      <c r="J257" s="1">
        <v>0.17699115000000001</v>
      </c>
      <c r="K257" s="1">
        <v>0.23893805300000001</v>
      </c>
      <c r="L257" s="1">
        <v>0.27433628300000001</v>
      </c>
      <c r="M257" s="1" t="s">
        <v>16</v>
      </c>
      <c r="N257" s="1" t="s">
        <v>17</v>
      </c>
    </row>
    <row r="258" spans="1:14" ht="15.75" customHeight="1">
      <c r="A258" s="1">
        <v>0.71060672199999997</v>
      </c>
      <c r="B258" s="1">
        <v>1087</v>
      </c>
      <c r="C258" s="1">
        <v>23</v>
      </c>
      <c r="D258" s="1">
        <v>1201</v>
      </c>
      <c r="E258" s="1">
        <v>38520</v>
      </c>
      <c r="F258" s="1">
        <v>38520</v>
      </c>
      <c r="G258" s="1" t="s">
        <v>23</v>
      </c>
      <c r="H258" s="1">
        <v>0.12</v>
      </c>
      <c r="I258" s="1">
        <v>9.5000000000000001E-2</v>
      </c>
      <c r="J258" s="1">
        <v>0.19500000000000001</v>
      </c>
      <c r="K258" s="1">
        <v>0.17499999999999999</v>
      </c>
      <c r="L258" s="1">
        <v>0.41499999999999998</v>
      </c>
      <c r="M258" s="1" t="s">
        <v>16</v>
      </c>
      <c r="N258" s="1" t="s">
        <v>17</v>
      </c>
    </row>
    <row r="259" spans="1:14" ht="15.75" customHeight="1">
      <c r="A259" s="1">
        <v>0.71307480400000001</v>
      </c>
      <c r="B259" s="1">
        <v>1205</v>
      </c>
      <c r="C259" s="1">
        <v>25</v>
      </c>
      <c r="D259" s="1">
        <v>2921</v>
      </c>
      <c r="E259" s="1">
        <v>38670</v>
      </c>
      <c r="F259" s="1">
        <v>38670</v>
      </c>
      <c r="G259" s="1" t="s">
        <v>23</v>
      </c>
      <c r="H259" s="1">
        <v>9.5846644999999994E-2</v>
      </c>
      <c r="I259" s="1">
        <v>6.3897763999999996E-2</v>
      </c>
      <c r="J259" s="1">
        <v>0.15015974400000001</v>
      </c>
      <c r="K259" s="1">
        <v>0.22044728399999999</v>
      </c>
      <c r="L259" s="1">
        <v>0.46964856199999999</v>
      </c>
      <c r="M259" s="1" t="s">
        <v>16</v>
      </c>
      <c r="N259" s="1" t="s">
        <v>17</v>
      </c>
    </row>
    <row r="260" spans="1:14" ht="15.75" customHeight="1">
      <c r="A260" s="1">
        <v>0.69137389299999996</v>
      </c>
      <c r="B260" s="1">
        <v>1250</v>
      </c>
      <c r="C260" s="1">
        <v>26</v>
      </c>
      <c r="D260" s="1">
        <v>918</v>
      </c>
      <c r="E260" s="1">
        <v>34200</v>
      </c>
      <c r="F260" s="1">
        <v>34200</v>
      </c>
      <c r="G260" s="1" t="s">
        <v>23</v>
      </c>
      <c r="H260" s="1">
        <v>0.13068181800000001</v>
      </c>
      <c r="I260" s="1">
        <v>0.13068181800000001</v>
      </c>
      <c r="J260" s="1">
        <v>0.17045454500000001</v>
      </c>
      <c r="K260" s="1">
        <v>0.18181818199999999</v>
      </c>
      <c r="L260" s="1">
        <v>0.38636363600000001</v>
      </c>
      <c r="M260" s="1" t="s">
        <v>16</v>
      </c>
      <c r="N260" s="1" t="s">
        <v>17</v>
      </c>
    </row>
    <row r="261" spans="1:14" ht="15.75" customHeight="1">
      <c r="A261" s="1">
        <v>0.80139130400000003</v>
      </c>
      <c r="B261" s="1">
        <v>1136</v>
      </c>
      <c r="C261" s="1">
        <v>25</v>
      </c>
      <c r="D261" s="1">
        <v>2289</v>
      </c>
      <c r="E261" s="1">
        <v>32300</v>
      </c>
      <c r="F261" s="1">
        <v>32300</v>
      </c>
      <c r="G261" s="1" t="s">
        <v>23</v>
      </c>
      <c r="H261" s="1">
        <v>0.28164557000000001</v>
      </c>
      <c r="I261" s="1">
        <v>0.136075949</v>
      </c>
      <c r="J261" s="1">
        <v>0.18987341799999999</v>
      </c>
      <c r="K261" s="1">
        <v>0.16772151900000001</v>
      </c>
      <c r="L261" s="1">
        <v>0.22468354400000001</v>
      </c>
      <c r="M261" s="1" t="s">
        <v>16</v>
      </c>
      <c r="N261" s="1" t="s">
        <v>17</v>
      </c>
    </row>
    <row r="262" spans="1:14" ht="15.75" customHeight="1">
      <c r="A262" s="1">
        <v>0.79087647400000005</v>
      </c>
      <c r="B262" s="1">
        <v>1219</v>
      </c>
      <c r="C262" s="1">
        <v>27</v>
      </c>
      <c r="D262" s="1">
        <v>1279</v>
      </c>
      <c r="E262" s="1">
        <v>46380</v>
      </c>
      <c r="F262" s="1">
        <v>46380</v>
      </c>
      <c r="G262" s="1" t="s">
        <v>23</v>
      </c>
      <c r="H262" s="1">
        <v>0.112299465</v>
      </c>
      <c r="I262" s="1">
        <v>0.112299465</v>
      </c>
      <c r="J262" s="1">
        <v>8.5561497E-2</v>
      </c>
      <c r="K262" s="1">
        <v>0.17647058800000001</v>
      </c>
      <c r="L262" s="1">
        <v>0.51336898399999997</v>
      </c>
      <c r="M262" s="1" t="s">
        <v>16</v>
      </c>
      <c r="N262" s="1" t="s">
        <v>17</v>
      </c>
    </row>
    <row r="263" spans="1:14" ht="15.75" customHeight="1">
      <c r="A263" s="1">
        <v>0.75854782899999995</v>
      </c>
      <c r="B263" s="1">
        <v>1237</v>
      </c>
      <c r="C263" s="1">
        <v>29</v>
      </c>
      <c r="D263" s="1">
        <v>3274</v>
      </c>
      <c r="E263" s="1">
        <v>40420</v>
      </c>
      <c r="F263" s="1">
        <v>40420</v>
      </c>
      <c r="G263" s="1" t="s">
        <v>23</v>
      </c>
      <c r="H263" s="1">
        <v>8.8353414000000005E-2</v>
      </c>
      <c r="I263" s="1">
        <v>0.110441767</v>
      </c>
      <c r="J263" s="1">
        <v>0.15060240999999999</v>
      </c>
      <c r="K263" s="1">
        <v>0.15863453799999999</v>
      </c>
      <c r="L263" s="1">
        <v>0.491967871</v>
      </c>
      <c r="M263" s="1" t="s">
        <v>16</v>
      </c>
      <c r="N263" s="1" t="s">
        <v>17</v>
      </c>
    </row>
    <row r="264" spans="1:14" ht="15.75" customHeight="1">
      <c r="A264" s="1">
        <v>0.66556108300000005</v>
      </c>
      <c r="B264" s="1">
        <v>1033</v>
      </c>
      <c r="C264" s="1">
        <v>19</v>
      </c>
      <c r="D264" s="1">
        <v>1533</v>
      </c>
      <c r="E264" s="1">
        <v>29778</v>
      </c>
      <c r="F264" s="1">
        <v>29778</v>
      </c>
      <c r="G264" s="1" t="s">
        <v>23</v>
      </c>
      <c r="H264" s="1">
        <v>0.184</v>
      </c>
      <c r="I264" s="1">
        <v>0.1</v>
      </c>
      <c r="J264" s="1">
        <v>0.112</v>
      </c>
      <c r="K264" s="1">
        <v>0.24399999999999999</v>
      </c>
      <c r="L264" s="1">
        <v>0.36</v>
      </c>
      <c r="M264" s="1" t="s">
        <v>16</v>
      </c>
      <c r="N264" s="1" t="s">
        <v>17</v>
      </c>
    </row>
    <row r="265" spans="1:14" ht="15.75" customHeight="1">
      <c r="A265" s="1">
        <v>0.37329093800000002</v>
      </c>
      <c r="B265" s="1">
        <v>1072</v>
      </c>
      <c r="C265" s="1">
        <v>23</v>
      </c>
      <c r="D265" s="1">
        <v>990</v>
      </c>
      <c r="E265" s="1">
        <v>32580</v>
      </c>
      <c r="F265" s="1">
        <v>32580</v>
      </c>
      <c r="G265" s="1" t="s">
        <v>23</v>
      </c>
      <c r="H265" s="1">
        <v>0.13793103400000001</v>
      </c>
      <c r="I265" s="1">
        <v>0.10344827600000001</v>
      </c>
      <c r="J265" s="1">
        <v>0.12068965500000001</v>
      </c>
      <c r="K265" s="1">
        <v>0.27586206899999999</v>
      </c>
      <c r="L265" s="1">
        <v>0.36206896599999999</v>
      </c>
      <c r="M265" s="1" t="s">
        <v>16</v>
      </c>
      <c r="N265" s="1" t="s">
        <v>17</v>
      </c>
    </row>
    <row r="266" spans="1:14" ht="15.75" customHeight="1">
      <c r="A266" s="1">
        <v>0.50964812699999995</v>
      </c>
      <c r="B266" s="1">
        <v>1144</v>
      </c>
      <c r="C266" s="1">
        <v>23</v>
      </c>
      <c r="D266" s="1">
        <v>682</v>
      </c>
      <c r="E266" s="1">
        <v>30010</v>
      </c>
      <c r="F266" s="1">
        <v>30010</v>
      </c>
      <c r="G266" s="1" t="s">
        <v>23</v>
      </c>
      <c r="H266" s="1">
        <v>0.14814814800000001</v>
      </c>
      <c r="I266" s="1">
        <v>0.14814814800000001</v>
      </c>
      <c r="J266" s="1">
        <v>0.20370370400000001</v>
      </c>
      <c r="K266" s="1">
        <v>0.19444444399999999</v>
      </c>
      <c r="L266" s="1">
        <v>0.30555555600000001</v>
      </c>
      <c r="M266" s="1" t="s">
        <v>16</v>
      </c>
      <c r="N266" s="1" t="s">
        <v>17</v>
      </c>
    </row>
    <row r="267" spans="1:14" ht="15.75" customHeight="1">
      <c r="A267" s="1">
        <v>0.90986601700000003</v>
      </c>
      <c r="B267" s="1">
        <v>1243</v>
      </c>
      <c r="C267" s="1">
        <v>26</v>
      </c>
      <c r="D267" s="1">
        <v>2012</v>
      </c>
      <c r="E267" s="1">
        <v>42930</v>
      </c>
      <c r="F267" s="1">
        <v>42930</v>
      </c>
      <c r="G267" s="1" t="s">
        <v>23</v>
      </c>
      <c r="H267" s="1">
        <v>0.12828947399999999</v>
      </c>
      <c r="I267" s="1">
        <v>0.105263158</v>
      </c>
      <c r="J267" s="1">
        <v>9.8684210999999994E-2</v>
      </c>
      <c r="K267" s="1">
        <v>0.1875</v>
      </c>
      <c r="L267" s="1">
        <v>0.48026315800000002</v>
      </c>
      <c r="M267" s="1" t="s">
        <v>16</v>
      </c>
      <c r="N267" s="1" t="s">
        <v>17</v>
      </c>
    </row>
    <row r="268" spans="1:14" ht="15.75" customHeight="1">
      <c r="A268" s="1">
        <v>0.22277227699999999</v>
      </c>
      <c r="B268" s="1">
        <v>1491</v>
      </c>
      <c r="C268" s="1">
        <v>33</v>
      </c>
      <c r="D268" s="1">
        <v>2019</v>
      </c>
      <c r="E268" s="1">
        <v>65457</v>
      </c>
      <c r="F268" s="1">
        <v>65457</v>
      </c>
      <c r="G268" s="1" t="s">
        <v>23</v>
      </c>
      <c r="H268" s="1">
        <v>0.12017167400000001</v>
      </c>
      <c r="I268" s="1">
        <v>0.12875536500000001</v>
      </c>
      <c r="J268" s="1">
        <v>0.13733905599999999</v>
      </c>
      <c r="K268" s="1">
        <v>9.8712445999999995E-2</v>
      </c>
      <c r="L268" s="1">
        <v>0.51502145899999996</v>
      </c>
      <c r="M268" s="1" t="s">
        <v>16</v>
      </c>
      <c r="N268" s="1" t="s">
        <v>17</v>
      </c>
    </row>
    <row r="269" spans="1:14" ht="15.75" customHeight="1">
      <c r="A269" s="1">
        <v>0.63058186699999996</v>
      </c>
      <c r="B269" s="1">
        <v>1192</v>
      </c>
      <c r="C269" s="1">
        <v>24</v>
      </c>
      <c r="D269" s="1">
        <v>1721</v>
      </c>
      <c r="E269" s="1">
        <v>30020</v>
      </c>
      <c r="F269" s="1">
        <v>30020</v>
      </c>
      <c r="G269" s="1" t="s">
        <v>23</v>
      </c>
      <c r="H269" s="1">
        <v>0.130718954</v>
      </c>
      <c r="I269" s="1">
        <v>0.10784313700000001</v>
      </c>
      <c r="J269" s="1">
        <v>0.14052287599999999</v>
      </c>
      <c r="K269" s="1">
        <v>0.17647058800000001</v>
      </c>
      <c r="L269" s="1">
        <v>0.44444444399999999</v>
      </c>
      <c r="M269" s="1" t="s">
        <v>16</v>
      </c>
      <c r="N269" s="1" t="s">
        <v>17</v>
      </c>
    </row>
    <row r="270" spans="1:14" ht="15.75" customHeight="1">
      <c r="A270" s="1">
        <v>0.82568807300000002</v>
      </c>
      <c r="B270" s="1">
        <v>1191</v>
      </c>
      <c r="C270" s="1">
        <v>24</v>
      </c>
      <c r="D270" s="1">
        <v>718</v>
      </c>
      <c r="E270" s="1">
        <v>17770</v>
      </c>
      <c r="F270" s="1">
        <v>17770</v>
      </c>
      <c r="G270" s="1" t="s">
        <v>23</v>
      </c>
      <c r="H270" s="1">
        <v>4.8780487999999997E-2</v>
      </c>
      <c r="I270" s="1">
        <v>8.9430893999999997E-2</v>
      </c>
      <c r="J270" s="1">
        <v>0.203252033</v>
      </c>
      <c r="K270" s="1">
        <v>0.30081300799999999</v>
      </c>
      <c r="L270" s="1">
        <v>0.35772357700000001</v>
      </c>
      <c r="M270" s="1" t="s">
        <v>16</v>
      </c>
      <c r="N270" s="1" t="s">
        <v>17</v>
      </c>
    </row>
    <row r="271" spans="1:14" ht="15.75" customHeight="1">
      <c r="A271" s="1">
        <v>0.61797752800000005</v>
      </c>
      <c r="B271" s="1">
        <v>1320</v>
      </c>
      <c r="C271" s="1">
        <v>28</v>
      </c>
      <c r="D271" s="1">
        <v>1930</v>
      </c>
      <c r="E271" s="1">
        <v>54310</v>
      </c>
      <c r="F271" s="1">
        <v>54310</v>
      </c>
      <c r="G271" s="1" t="s">
        <v>23</v>
      </c>
      <c r="H271" s="1">
        <v>8.8235294000000006E-2</v>
      </c>
      <c r="I271" s="1">
        <v>7.1895424999999999E-2</v>
      </c>
      <c r="J271" s="1">
        <v>0.156862745</v>
      </c>
      <c r="K271" s="1">
        <v>0.20588235299999999</v>
      </c>
      <c r="L271" s="1">
        <v>0.47712418299999998</v>
      </c>
      <c r="M271" s="1" t="s">
        <v>16</v>
      </c>
      <c r="N271" s="1" t="s">
        <v>17</v>
      </c>
    </row>
    <row r="272" spans="1:14" ht="15.75" customHeight="1">
      <c r="A272" s="1">
        <v>0.89827315500000005</v>
      </c>
      <c r="B272" s="1">
        <v>1197</v>
      </c>
      <c r="C272" s="1">
        <v>24</v>
      </c>
      <c r="D272" s="1">
        <v>1685</v>
      </c>
      <c r="E272" s="1">
        <v>48311</v>
      </c>
      <c r="F272" s="1">
        <v>48311</v>
      </c>
      <c r="G272" s="1" t="s">
        <v>23</v>
      </c>
      <c r="H272" s="1">
        <v>0.19452054799999999</v>
      </c>
      <c r="I272" s="1">
        <v>0.178082192</v>
      </c>
      <c r="J272" s="1">
        <v>0.20547945200000001</v>
      </c>
      <c r="K272" s="1">
        <v>0.145205479</v>
      </c>
      <c r="L272" s="1">
        <v>0.27671232899999998</v>
      </c>
      <c r="M272" s="1" t="s">
        <v>16</v>
      </c>
      <c r="N272" s="1" t="s">
        <v>17</v>
      </c>
    </row>
    <row r="273" spans="1:14" ht="15.75" customHeight="1">
      <c r="A273" s="1">
        <v>0.28213359700000001</v>
      </c>
      <c r="B273" s="1">
        <v>1424</v>
      </c>
      <c r="C273" s="1">
        <v>32</v>
      </c>
      <c r="D273" s="1">
        <v>2131</v>
      </c>
      <c r="E273" s="1">
        <v>64908</v>
      </c>
      <c r="F273" s="1">
        <v>64908</v>
      </c>
      <c r="G273" s="1" t="s">
        <v>23</v>
      </c>
      <c r="H273" s="1">
        <v>0.133333333</v>
      </c>
      <c r="I273" s="1">
        <v>0.108333333</v>
      </c>
      <c r="J273" s="1">
        <v>0.12916666700000001</v>
      </c>
      <c r="K273" s="1">
        <v>0.1125</v>
      </c>
      <c r="L273" s="1">
        <v>0.51666666699999997</v>
      </c>
      <c r="M273" s="1" t="s">
        <v>16</v>
      </c>
      <c r="N273" s="1" t="s">
        <v>17</v>
      </c>
    </row>
    <row r="274" spans="1:14" ht="15.75" customHeight="1">
      <c r="A274" s="1">
        <v>0.483615819</v>
      </c>
      <c r="B274" s="1">
        <v>1170</v>
      </c>
      <c r="C274" s="1">
        <v>23</v>
      </c>
      <c r="D274" s="1">
        <v>701</v>
      </c>
      <c r="E274" s="1">
        <v>43824</v>
      </c>
      <c r="F274" s="1">
        <v>43824</v>
      </c>
      <c r="G274" s="1" t="s">
        <v>23</v>
      </c>
      <c r="H274" s="1">
        <v>0.18796992500000001</v>
      </c>
      <c r="I274" s="1">
        <v>0.135338346</v>
      </c>
      <c r="J274" s="1">
        <v>0.18796992500000001</v>
      </c>
      <c r="K274" s="1">
        <v>0.21052631599999999</v>
      </c>
      <c r="L274" s="1">
        <v>0.27819548900000002</v>
      </c>
      <c r="M274" s="1" t="s">
        <v>16</v>
      </c>
      <c r="N274" s="1" t="s">
        <v>17</v>
      </c>
    </row>
    <row r="275" spans="1:14" ht="15.75" customHeight="1">
      <c r="A275" s="1">
        <v>0.91876046899999997</v>
      </c>
      <c r="B275" s="1">
        <v>1244</v>
      </c>
      <c r="C275" s="1">
        <v>26</v>
      </c>
      <c r="D275" s="1">
        <v>1495</v>
      </c>
      <c r="E275" s="1">
        <v>36830</v>
      </c>
      <c r="F275" s="1">
        <v>36830</v>
      </c>
      <c r="G275" s="1" t="s">
        <v>23</v>
      </c>
      <c r="H275" s="1">
        <v>0.124113475</v>
      </c>
      <c r="I275" s="1">
        <v>7.4468085000000003E-2</v>
      </c>
      <c r="J275" s="1">
        <v>0.14539007100000001</v>
      </c>
      <c r="K275" s="1">
        <v>0.29432624099999999</v>
      </c>
      <c r="L275" s="1">
        <v>0.36170212800000001</v>
      </c>
      <c r="M275" s="1" t="s">
        <v>16</v>
      </c>
      <c r="N275" s="1" t="s">
        <v>17</v>
      </c>
    </row>
    <row r="276" spans="1:14" ht="15.75" customHeight="1">
      <c r="A276" s="1">
        <v>0.91360691100000002</v>
      </c>
      <c r="B276" s="1">
        <v>1185</v>
      </c>
      <c r="C276" s="1">
        <v>24</v>
      </c>
      <c r="D276" s="1">
        <v>1392</v>
      </c>
      <c r="E276" s="1">
        <v>53884</v>
      </c>
      <c r="F276" s="1">
        <v>53884</v>
      </c>
      <c r="G276" s="1" t="s">
        <v>23</v>
      </c>
      <c r="H276" s="1">
        <v>8.2608695999999995E-2</v>
      </c>
      <c r="I276" s="1">
        <v>7.8260869999999996E-2</v>
      </c>
      <c r="J276" s="1">
        <v>0.108695652</v>
      </c>
      <c r="K276" s="1">
        <v>0.126086957</v>
      </c>
      <c r="L276" s="1">
        <v>0.60434782600000003</v>
      </c>
      <c r="M276" s="1" t="s">
        <v>16</v>
      </c>
      <c r="N276" s="1" t="s">
        <v>17</v>
      </c>
    </row>
    <row r="277" spans="1:14" ht="15.75" customHeight="1">
      <c r="A277" s="1">
        <v>0.90482154000000004</v>
      </c>
      <c r="B277" s="1">
        <v>1220</v>
      </c>
      <c r="C277" s="1">
        <v>25</v>
      </c>
      <c r="D277" s="1">
        <v>1468</v>
      </c>
      <c r="E277" s="1">
        <v>53942</v>
      </c>
      <c r="F277" s="1">
        <v>53942</v>
      </c>
      <c r="G277" s="1" t="s">
        <v>23</v>
      </c>
      <c r="H277" s="1">
        <v>0.103846154</v>
      </c>
      <c r="I277" s="1">
        <v>6.9230768999999998E-2</v>
      </c>
      <c r="J277" s="1">
        <v>0.1</v>
      </c>
      <c r="K277" s="1">
        <v>0.169230769</v>
      </c>
      <c r="L277" s="1">
        <v>0.55769230800000003</v>
      </c>
      <c r="M277" s="1" t="s">
        <v>16</v>
      </c>
      <c r="N277" s="1" t="s">
        <v>17</v>
      </c>
    </row>
    <row r="278" spans="1:14" ht="15.75" customHeight="1">
      <c r="A278" s="1">
        <v>0.52149093400000002</v>
      </c>
      <c r="B278" s="1">
        <v>1373</v>
      </c>
      <c r="C278" s="1">
        <v>30</v>
      </c>
      <c r="D278" s="1">
        <v>3049</v>
      </c>
      <c r="E278" s="1">
        <v>56970</v>
      </c>
      <c r="F278" s="1">
        <v>56970</v>
      </c>
      <c r="G278" s="1" t="s">
        <v>23</v>
      </c>
      <c r="H278" s="1">
        <v>0.141304348</v>
      </c>
      <c r="I278" s="1">
        <v>0.110869565</v>
      </c>
      <c r="J278" s="1">
        <v>0.134782609</v>
      </c>
      <c r="K278" s="1">
        <v>0.17608695699999999</v>
      </c>
      <c r="L278" s="1">
        <v>0.43695652200000001</v>
      </c>
      <c r="M278" s="1" t="s">
        <v>16</v>
      </c>
      <c r="N278" s="1" t="s">
        <v>17</v>
      </c>
    </row>
    <row r="279" spans="1:14" ht="15.75" customHeight="1">
      <c r="A279" s="1">
        <v>0.93781094499999995</v>
      </c>
      <c r="B279" s="1">
        <v>1190</v>
      </c>
      <c r="C279" s="1">
        <v>24</v>
      </c>
      <c r="D279" s="1">
        <v>1725</v>
      </c>
      <c r="E279" s="1">
        <v>40454</v>
      </c>
      <c r="F279" s="1">
        <v>40454</v>
      </c>
      <c r="G279" s="1" t="s">
        <v>23</v>
      </c>
      <c r="H279" s="1">
        <v>0.14102564100000001</v>
      </c>
      <c r="I279" s="1">
        <v>0.115384615</v>
      </c>
      <c r="J279" s="1">
        <v>0.128205128</v>
      </c>
      <c r="K279" s="1">
        <v>0.158119658</v>
      </c>
      <c r="L279" s="1">
        <v>0.45726495700000003</v>
      </c>
      <c r="M279" s="1" t="s">
        <v>16</v>
      </c>
      <c r="N279" s="1" t="s">
        <v>17</v>
      </c>
    </row>
    <row r="280" spans="1:14" ht="15.75" customHeight="1">
      <c r="A280" s="1">
        <v>0.84942698299999997</v>
      </c>
      <c r="B280" s="1">
        <v>1296</v>
      </c>
      <c r="C280" s="1">
        <v>27</v>
      </c>
      <c r="D280" s="1">
        <v>6014</v>
      </c>
      <c r="E280" s="1">
        <v>52284</v>
      </c>
      <c r="F280" s="1">
        <v>52284</v>
      </c>
      <c r="G280" s="1" t="s">
        <v>23</v>
      </c>
      <c r="H280" s="1">
        <v>0.13228699599999999</v>
      </c>
      <c r="I280" s="1">
        <v>0.114349776</v>
      </c>
      <c r="J280" s="1">
        <v>0.17713004500000001</v>
      </c>
      <c r="K280" s="1">
        <v>0.11883408099999999</v>
      </c>
      <c r="L280" s="1">
        <v>0.45739910299999997</v>
      </c>
      <c r="M280" s="1" t="s">
        <v>16</v>
      </c>
      <c r="N280" s="1" t="s">
        <v>17</v>
      </c>
    </row>
    <row r="281" spans="1:14" ht="15.75" customHeight="1">
      <c r="A281" s="1">
        <v>0.94069289499999997</v>
      </c>
      <c r="B281" s="1">
        <v>1190</v>
      </c>
      <c r="C281" s="1">
        <v>24</v>
      </c>
      <c r="D281" s="1">
        <v>2393</v>
      </c>
      <c r="E281" s="1">
        <v>49758</v>
      </c>
      <c r="F281" s="1">
        <v>49758</v>
      </c>
      <c r="G281" s="1" t="s">
        <v>23</v>
      </c>
      <c r="H281" s="1">
        <v>0.20446096699999999</v>
      </c>
      <c r="I281" s="1">
        <v>0.159851301</v>
      </c>
      <c r="J281" s="1">
        <v>0.20817843899999999</v>
      </c>
      <c r="K281" s="1">
        <v>0.12639405200000001</v>
      </c>
      <c r="L281" s="1">
        <v>0.30111524200000001</v>
      </c>
      <c r="M281" s="1" t="s">
        <v>16</v>
      </c>
      <c r="N281" s="1" t="s">
        <v>17</v>
      </c>
    </row>
    <row r="282" spans="1:14" ht="15.75" customHeight="1">
      <c r="A282" s="1">
        <v>0.98466780200000004</v>
      </c>
      <c r="B282" s="1">
        <v>1050</v>
      </c>
      <c r="C282" s="1">
        <v>20</v>
      </c>
      <c r="D282" s="1">
        <v>1417</v>
      </c>
      <c r="E282" s="1">
        <v>25659</v>
      </c>
      <c r="F282" s="1">
        <v>25659</v>
      </c>
      <c r="G282" s="1" t="s">
        <v>23</v>
      </c>
      <c r="H282" s="1">
        <v>0.18852458999999999</v>
      </c>
      <c r="I282" s="1">
        <v>0.12295082</v>
      </c>
      <c r="J282" s="1">
        <v>0.14344262299999999</v>
      </c>
      <c r="K282" s="1">
        <v>0.15163934400000001</v>
      </c>
      <c r="L282" s="1">
        <v>0.39344262299999999</v>
      </c>
      <c r="M282" s="1" t="s">
        <v>16</v>
      </c>
      <c r="N282" s="1" t="s">
        <v>17</v>
      </c>
    </row>
    <row r="283" spans="1:14" ht="15.75" customHeight="1">
      <c r="A283" s="1">
        <v>0.53246753199999997</v>
      </c>
      <c r="B283" s="1">
        <v>1050</v>
      </c>
      <c r="C283" s="1">
        <v>20</v>
      </c>
      <c r="D283" s="1">
        <v>1370</v>
      </c>
      <c r="E283" s="1">
        <v>29195</v>
      </c>
      <c r="F283" s="1">
        <v>29195</v>
      </c>
      <c r="G283" s="1" t="s">
        <v>23</v>
      </c>
      <c r="H283" s="1">
        <v>0.257142857</v>
      </c>
      <c r="I283" s="1">
        <v>0.157142857</v>
      </c>
      <c r="J283" s="1">
        <v>0.21428571399999999</v>
      </c>
      <c r="K283" s="1">
        <v>0.114285714</v>
      </c>
      <c r="L283" s="1">
        <v>0.257142857</v>
      </c>
      <c r="M283" s="1" t="s">
        <v>16</v>
      </c>
      <c r="N283" s="1" t="s">
        <v>17</v>
      </c>
    </row>
    <row r="284" spans="1:14" ht="15.75" customHeight="1">
      <c r="A284" s="1">
        <v>1</v>
      </c>
      <c r="B284" s="1">
        <v>1047</v>
      </c>
      <c r="C284" s="1">
        <v>20</v>
      </c>
      <c r="D284" s="1">
        <v>536</v>
      </c>
      <c r="E284" s="1">
        <v>19280</v>
      </c>
      <c r="F284" s="1">
        <v>19280</v>
      </c>
      <c r="G284" s="1" t="s">
        <v>23</v>
      </c>
      <c r="H284" s="1">
        <v>0.25862068999999999</v>
      </c>
      <c r="I284" s="1">
        <v>0.17241379300000001</v>
      </c>
      <c r="J284" s="1">
        <v>8.6206897000000005E-2</v>
      </c>
      <c r="K284" s="1">
        <v>0.27586206899999999</v>
      </c>
      <c r="L284" s="1">
        <v>0.20689655200000001</v>
      </c>
      <c r="M284" s="1" t="s">
        <v>16</v>
      </c>
      <c r="N284" s="1" t="s">
        <v>17</v>
      </c>
    </row>
    <row r="285" spans="1:14" ht="15.75" customHeight="1">
      <c r="A285" s="1">
        <v>0.48868778299999999</v>
      </c>
      <c r="B285" s="1">
        <v>1120</v>
      </c>
      <c r="C285" s="1">
        <v>22</v>
      </c>
      <c r="D285" s="1">
        <v>2423</v>
      </c>
      <c r="E285" s="1">
        <v>21698</v>
      </c>
      <c r="F285" s="1">
        <v>21698</v>
      </c>
      <c r="G285" s="1" t="s">
        <v>23</v>
      </c>
      <c r="H285" s="1">
        <v>0.31360946699999998</v>
      </c>
      <c r="I285" s="1">
        <v>0.13017751499999999</v>
      </c>
      <c r="J285" s="1">
        <v>0.18343195300000001</v>
      </c>
      <c r="K285" s="1">
        <v>0.142011834</v>
      </c>
      <c r="L285" s="1">
        <v>0.23076923099999999</v>
      </c>
      <c r="M285" s="1" t="s">
        <v>16</v>
      </c>
      <c r="N285" s="1" t="s">
        <v>17</v>
      </c>
    </row>
    <row r="286" spans="1:14" ht="15.75" customHeight="1">
      <c r="A286" s="1">
        <v>0.57968476400000002</v>
      </c>
      <c r="B286" s="1">
        <v>1120</v>
      </c>
      <c r="C286" s="1">
        <v>22</v>
      </c>
      <c r="D286" s="1">
        <v>1818</v>
      </c>
      <c r="E286" s="1">
        <v>14685</v>
      </c>
      <c r="F286" s="1">
        <v>14685</v>
      </c>
      <c r="G286" s="1" t="s">
        <v>23</v>
      </c>
      <c r="H286" s="1">
        <v>0.34883720899999998</v>
      </c>
      <c r="I286" s="1">
        <v>0.16279069800000001</v>
      </c>
      <c r="J286" s="1">
        <v>0.11627907</v>
      </c>
      <c r="K286" s="1">
        <v>0.174418605</v>
      </c>
      <c r="L286" s="1">
        <v>0.19767441899999999</v>
      </c>
      <c r="M286" s="1" t="s">
        <v>16</v>
      </c>
      <c r="N286" s="1" t="s">
        <v>17</v>
      </c>
    </row>
    <row r="287" spans="1:14" ht="15.75" customHeight="1">
      <c r="A287" s="1">
        <v>0.59538784099999997</v>
      </c>
      <c r="B287" s="1">
        <v>942</v>
      </c>
      <c r="C287" s="1">
        <v>17</v>
      </c>
      <c r="D287" s="1">
        <v>1192</v>
      </c>
      <c r="E287" s="1">
        <v>38672</v>
      </c>
      <c r="F287" s="1">
        <v>38672</v>
      </c>
      <c r="G287" s="1" t="s">
        <v>23</v>
      </c>
      <c r="H287" s="1">
        <v>0.29220779200000002</v>
      </c>
      <c r="I287" s="1">
        <v>0.168831169</v>
      </c>
      <c r="J287" s="1">
        <v>9.7402596999999994E-2</v>
      </c>
      <c r="K287" s="1">
        <v>0.16233766199999999</v>
      </c>
      <c r="L287" s="1">
        <v>0.27922077899999997</v>
      </c>
      <c r="M287" s="1" t="s">
        <v>16</v>
      </c>
      <c r="N287" s="1" t="s">
        <v>17</v>
      </c>
    </row>
    <row r="288" spans="1:14" ht="15.75" customHeight="1">
      <c r="A288" s="1">
        <v>0.70909090900000005</v>
      </c>
      <c r="B288" s="1">
        <v>1008</v>
      </c>
      <c r="C288" s="1">
        <v>18</v>
      </c>
      <c r="D288" s="1">
        <v>170</v>
      </c>
      <c r="E288" s="1">
        <v>13692</v>
      </c>
      <c r="F288" s="1">
        <v>13692</v>
      </c>
      <c r="G288" s="1" t="s">
        <v>23</v>
      </c>
      <c r="H288" s="1">
        <v>0.14285714299999999</v>
      </c>
      <c r="I288" s="1">
        <v>0.428571429</v>
      </c>
      <c r="J288" s="1">
        <v>0.14285714299999999</v>
      </c>
      <c r="K288" s="1">
        <v>0.21428571399999999</v>
      </c>
      <c r="L288" s="1">
        <v>7.1428570999999996E-2</v>
      </c>
      <c r="M288" s="1" t="s">
        <v>16</v>
      </c>
      <c r="N288" s="1" t="s">
        <v>17</v>
      </c>
    </row>
    <row r="289" spans="1:14" ht="15.75" customHeight="1">
      <c r="A289" s="1">
        <v>0.87753673899999995</v>
      </c>
      <c r="B289" s="1">
        <v>1090</v>
      </c>
      <c r="C289" s="1">
        <v>21</v>
      </c>
      <c r="D289" s="1">
        <v>1015</v>
      </c>
      <c r="E289" s="1">
        <v>27140</v>
      </c>
      <c r="F289" s="1">
        <v>27140</v>
      </c>
      <c r="G289" s="1" t="s">
        <v>23</v>
      </c>
      <c r="H289" s="1">
        <v>0.25961538499999998</v>
      </c>
      <c r="I289" s="1">
        <v>0.16346153799999999</v>
      </c>
      <c r="J289" s="1">
        <v>0.177884615</v>
      </c>
      <c r="K289" s="1">
        <v>0.192307692</v>
      </c>
      <c r="L289" s="1">
        <v>0.20673076900000001</v>
      </c>
      <c r="M289" s="1" t="s">
        <v>16</v>
      </c>
      <c r="N289" s="1" t="s">
        <v>17</v>
      </c>
    </row>
    <row r="290" spans="1:14" ht="15.75" customHeight="1">
      <c r="A290" s="1">
        <v>1</v>
      </c>
      <c r="B290" s="1">
        <v>1250</v>
      </c>
      <c r="C290" s="1">
        <v>26</v>
      </c>
      <c r="D290" s="1">
        <v>32</v>
      </c>
      <c r="E290" s="1">
        <v>25208</v>
      </c>
      <c r="F290" s="1">
        <v>25208</v>
      </c>
      <c r="G290" s="1" t="s">
        <v>23</v>
      </c>
      <c r="H290" s="1">
        <v>0</v>
      </c>
      <c r="I290" s="1">
        <v>0</v>
      </c>
      <c r="J290" s="1">
        <v>1</v>
      </c>
      <c r="K290" s="1">
        <v>0</v>
      </c>
      <c r="L290" s="1">
        <v>0</v>
      </c>
      <c r="M290" s="1" t="s">
        <v>16</v>
      </c>
      <c r="N290" s="1" t="s">
        <v>17</v>
      </c>
    </row>
    <row r="291" spans="1:14" ht="15.75" customHeight="1">
      <c r="A291" s="1">
        <v>0.66313933000000003</v>
      </c>
      <c r="B291" s="1">
        <v>1190</v>
      </c>
      <c r="C291" s="1">
        <v>24</v>
      </c>
      <c r="D291" s="1">
        <v>266</v>
      </c>
      <c r="E291" s="1">
        <v>26209</v>
      </c>
      <c r="F291" s="1">
        <v>26209</v>
      </c>
      <c r="G291" s="1" t="s">
        <v>23</v>
      </c>
      <c r="H291" s="1">
        <v>0.215384615</v>
      </c>
      <c r="I291" s="1">
        <v>0.24615384600000001</v>
      </c>
      <c r="J291" s="1">
        <v>0.215384615</v>
      </c>
      <c r="K291" s="1">
        <v>0.138461538</v>
      </c>
      <c r="L291" s="1">
        <v>0.18461538499999999</v>
      </c>
      <c r="M291" s="1" t="s">
        <v>16</v>
      </c>
      <c r="N291" s="1" t="s">
        <v>17</v>
      </c>
    </row>
    <row r="292" spans="1:14" ht="15.75" customHeight="1">
      <c r="A292" s="1">
        <v>0.98001480399999996</v>
      </c>
      <c r="B292" s="1">
        <v>1020</v>
      </c>
      <c r="C292" s="1">
        <v>19</v>
      </c>
      <c r="D292" s="1">
        <v>884</v>
      </c>
      <c r="E292" s="1">
        <v>29915</v>
      </c>
      <c r="F292" s="1">
        <v>29915</v>
      </c>
      <c r="G292" s="1" t="s">
        <v>23</v>
      </c>
      <c r="H292" s="1">
        <v>0.162601626</v>
      </c>
      <c r="I292" s="1">
        <v>0.13821138199999999</v>
      </c>
      <c r="J292" s="1">
        <v>0.13821138199999999</v>
      </c>
      <c r="K292" s="1">
        <v>0.18699187</v>
      </c>
      <c r="L292" s="1">
        <v>0.37398374000000001</v>
      </c>
      <c r="M292" s="1" t="s">
        <v>16</v>
      </c>
      <c r="N292" s="1" t="s">
        <v>17</v>
      </c>
    </row>
    <row r="293" spans="1:14" ht="15.75" customHeight="1">
      <c r="A293" s="1">
        <v>0.58870660100000005</v>
      </c>
      <c r="B293" s="1">
        <v>1212</v>
      </c>
      <c r="C293" s="1">
        <v>25</v>
      </c>
      <c r="D293" s="1">
        <v>1367</v>
      </c>
      <c r="E293" s="1">
        <v>35235</v>
      </c>
      <c r="F293" s="1">
        <v>35235</v>
      </c>
      <c r="G293" s="1" t="s">
        <v>23</v>
      </c>
      <c r="H293" s="1">
        <v>0.15564202299999999</v>
      </c>
      <c r="I293" s="1">
        <v>0.16731517500000001</v>
      </c>
      <c r="J293" s="1">
        <v>0.143968872</v>
      </c>
      <c r="K293" s="1">
        <v>0.18287937700000001</v>
      </c>
      <c r="L293" s="1">
        <v>0.35019455300000002</v>
      </c>
      <c r="M293" s="1" t="s">
        <v>16</v>
      </c>
      <c r="N293" s="1" t="s">
        <v>17</v>
      </c>
    </row>
    <row r="294" spans="1:14" ht="15.75" customHeight="1">
      <c r="A294" s="1">
        <v>0.58743169399999995</v>
      </c>
      <c r="B294" s="1">
        <v>1020</v>
      </c>
      <c r="C294" s="1">
        <v>19</v>
      </c>
      <c r="D294" s="1">
        <v>381</v>
      </c>
      <c r="E294" s="1">
        <v>26880</v>
      </c>
      <c r="F294" s="1">
        <v>26880</v>
      </c>
      <c r="G294" s="1" t="s">
        <v>23</v>
      </c>
      <c r="H294" s="1">
        <v>0.04</v>
      </c>
      <c r="I294" s="1">
        <v>0.04</v>
      </c>
      <c r="J294" s="1">
        <v>0.2</v>
      </c>
      <c r="K294" s="1">
        <v>0.36</v>
      </c>
      <c r="L294" s="1">
        <v>0.36</v>
      </c>
      <c r="M294" s="1" t="s">
        <v>16</v>
      </c>
      <c r="N294" s="1" t="s">
        <v>17</v>
      </c>
    </row>
    <row r="295" spans="1:14" ht="15.75" customHeight="1">
      <c r="A295" s="1">
        <v>0.65860892800000004</v>
      </c>
      <c r="B295" s="1">
        <v>1120</v>
      </c>
      <c r="C295" s="1">
        <v>22</v>
      </c>
      <c r="D295" s="1">
        <v>4748</v>
      </c>
      <c r="E295" s="1">
        <v>21100</v>
      </c>
      <c r="F295" s="1">
        <v>21100</v>
      </c>
      <c r="G295" s="1" t="s">
        <v>23</v>
      </c>
      <c r="H295" s="1">
        <v>0.176975945</v>
      </c>
      <c r="I295" s="1">
        <v>7.3883162000000002E-2</v>
      </c>
      <c r="J295" s="1">
        <v>0.151202749</v>
      </c>
      <c r="K295" s="1">
        <v>0.147766323</v>
      </c>
      <c r="L295" s="1">
        <v>0.45017182100000003</v>
      </c>
      <c r="M295" s="1" t="s">
        <v>16</v>
      </c>
      <c r="N295" s="1" t="s">
        <v>17</v>
      </c>
    </row>
    <row r="296" spans="1:14" ht="15.75" customHeight="1">
      <c r="A296" s="1">
        <v>0.9</v>
      </c>
      <c r="B296" s="1">
        <v>998</v>
      </c>
      <c r="C296" s="1">
        <v>19</v>
      </c>
      <c r="D296" s="1">
        <v>258</v>
      </c>
      <c r="E296" s="1">
        <v>9000</v>
      </c>
      <c r="F296" s="1">
        <v>9000</v>
      </c>
      <c r="G296" s="1" t="s">
        <v>23</v>
      </c>
      <c r="H296" s="1">
        <v>0.25</v>
      </c>
      <c r="I296" s="1">
        <v>0.125</v>
      </c>
      <c r="J296" s="1">
        <v>0.125</v>
      </c>
      <c r="K296" s="1">
        <v>0.25</v>
      </c>
      <c r="L296" s="1">
        <v>0.25</v>
      </c>
      <c r="M296" s="1" t="s">
        <v>16</v>
      </c>
      <c r="N296" s="1" t="s">
        <v>17</v>
      </c>
    </row>
    <row r="297" spans="1:14" ht="15.75" customHeight="1">
      <c r="A297" s="1">
        <v>0.64100418400000003</v>
      </c>
      <c r="B297" s="1">
        <v>983</v>
      </c>
      <c r="C297" s="1">
        <v>17</v>
      </c>
      <c r="D297" s="1">
        <v>1452</v>
      </c>
      <c r="E297" s="1">
        <v>33122</v>
      </c>
      <c r="F297" s="1">
        <v>33122</v>
      </c>
      <c r="G297" s="1" t="s">
        <v>23</v>
      </c>
      <c r="H297" s="1">
        <v>0.188940092</v>
      </c>
      <c r="I297" s="1">
        <v>0.156682028</v>
      </c>
      <c r="J297" s="1">
        <v>0.147465438</v>
      </c>
      <c r="K297" s="1">
        <v>0.18433179699999999</v>
      </c>
      <c r="L297" s="1">
        <v>0.322580645</v>
      </c>
      <c r="M297" s="1" t="s">
        <v>16</v>
      </c>
      <c r="N297" s="1" t="s">
        <v>17</v>
      </c>
    </row>
    <row r="298" spans="1:14" ht="15.75" customHeight="1">
      <c r="A298" s="1">
        <v>0.52690583000000002</v>
      </c>
      <c r="B298" s="1">
        <v>1018</v>
      </c>
      <c r="C298" s="1">
        <v>19</v>
      </c>
      <c r="D298" s="1">
        <v>1274</v>
      </c>
      <c r="E298" s="1">
        <v>23000</v>
      </c>
      <c r="F298" s="1">
        <v>23000</v>
      </c>
      <c r="G298" s="1" t="s">
        <v>23</v>
      </c>
      <c r="H298" s="1">
        <v>0.31162790699999998</v>
      </c>
      <c r="I298" s="1">
        <v>0.158139535</v>
      </c>
      <c r="J298" s="1">
        <v>0.19069767400000001</v>
      </c>
      <c r="K298" s="1">
        <v>0.102325581</v>
      </c>
      <c r="L298" s="1">
        <v>0.23720930200000001</v>
      </c>
      <c r="M298" s="1" t="s">
        <v>16</v>
      </c>
      <c r="N298" s="1" t="s">
        <v>17</v>
      </c>
    </row>
    <row r="299" spans="1:14" ht="15.75" customHeight="1">
      <c r="A299" s="1">
        <v>0.14869739500000001</v>
      </c>
      <c r="B299" s="1">
        <v>1125</v>
      </c>
      <c r="C299" s="1">
        <v>22</v>
      </c>
      <c r="D299" s="1">
        <v>1415</v>
      </c>
      <c r="E299" s="1">
        <v>21290</v>
      </c>
      <c r="F299" s="1">
        <v>21290</v>
      </c>
      <c r="G299" s="1" t="s">
        <v>23</v>
      </c>
      <c r="H299" s="1">
        <v>0.26288659800000003</v>
      </c>
      <c r="I299" s="1">
        <v>0.139175258</v>
      </c>
      <c r="J299" s="1">
        <v>0.35567010300000002</v>
      </c>
      <c r="K299" s="1">
        <v>0.211340206</v>
      </c>
      <c r="L299" s="1">
        <v>3.0927835000000001E-2</v>
      </c>
      <c r="M299" s="1" t="s">
        <v>16</v>
      </c>
      <c r="N299" s="1" t="s">
        <v>17</v>
      </c>
    </row>
    <row r="300" spans="1:14" ht="15.75" customHeight="1">
      <c r="A300" s="1">
        <v>0.69052150700000003</v>
      </c>
      <c r="B300" s="1">
        <v>1218</v>
      </c>
      <c r="C300" s="1">
        <v>25</v>
      </c>
      <c r="D300" s="1">
        <v>1702</v>
      </c>
      <c r="E300" s="1">
        <v>43420</v>
      </c>
      <c r="F300" s="1">
        <v>43420</v>
      </c>
      <c r="G300" s="1" t="s">
        <v>23</v>
      </c>
      <c r="H300" s="1">
        <v>0.126984127</v>
      </c>
      <c r="I300" s="1">
        <v>0.137566138</v>
      </c>
      <c r="J300" s="1">
        <v>0.21693121700000001</v>
      </c>
      <c r="K300" s="1">
        <v>0.15343915299999999</v>
      </c>
      <c r="L300" s="1">
        <v>0.36507936499999999</v>
      </c>
      <c r="M300" s="1" t="s">
        <v>16</v>
      </c>
      <c r="N300" s="1" t="s">
        <v>17</v>
      </c>
    </row>
    <row r="301" spans="1:14" ht="15.75" customHeight="1">
      <c r="A301" s="1">
        <v>0.81465825599999997</v>
      </c>
      <c r="B301" s="1">
        <v>1326</v>
      </c>
      <c r="C301" s="1">
        <v>28</v>
      </c>
      <c r="D301" s="1">
        <v>7324</v>
      </c>
      <c r="E301" s="1">
        <v>53244</v>
      </c>
      <c r="F301" s="1">
        <v>53244</v>
      </c>
      <c r="G301" s="1" t="s">
        <v>23</v>
      </c>
      <c r="H301" s="1">
        <v>0.16911764700000001</v>
      </c>
      <c r="I301" s="1">
        <v>0.119747899</v>
      </c>
      <c r="J301" s="1">
        <v>0.15231092399999999</v>
      </c>
      <c r="K301" s="1">
        <v>0.15021008399999999</v>
      </c>
      <c r="L301" s="1">
        <v>0.40861344500000002</v>
      </c>
      <c r="M301" s="1" t="s">
        <v>16</v>
      </c>
      <c r="N301" s="1" t="s">
        <v>17</v>
      </c>
    </row>
    <row r="302" spans="1:14" ht="15.75" customHeight="1">
      <c r="A302" s="1">
        <v>0.75129533699999995</v>
      </c>
      <c r="B302" s="1">
        <v>1150</v>
      </c>
      <c r="C302" s="1">
        <v>23</v>
      </c>
      <c r="D302" s="1">
        <v>274</v>
      </c>
      <c r="E302" s="1">
        <v>31920</v>
      </c>
      <c r="F302" s="1">
        <v>31920</v>
      </c>
      <c r="G302" s="1" t="s">
        <v>23</v>
      </c>
      <c r="H302" s="1">
        <v>0.136986301</v>
      </c>
      <c r="I302" s="1">
        <v>0.123287671</v>
      </c>
      <c r="J302" s="1">
        <v>9.5890410999999995E-2</v>
      </c>
      <c r="K302" s="1">
        <v>0.178082192</v>
      </c>
      <c r="L302" s="1">
        <v>0.465753425</v>
      </c>
      <c r="M302" s="1" t="s">
        <v>16</v>
      </c>
      <c r="N302" s="1" t="s">
        <v>17</v>
      </c>
    </row>
    <row r="303" spans="1:14" ht="15.75" customHeight="1">
      <c r="A303" s="1">
        <v>0.99716177900000003</v>
      </c>
      <c r="B303" s="1">
        <v>1084</v>
      </c>
      <c r="C303" s="1">
        <v>21</v>
      </c>
      <c r="D303" s="1">
        <v>1339</v>
      </c>
      <c r="E303" s="1">
        <v>28320</v>
      </c>
      <c r="F303" s="1">
        <v>28320</v>
      </c>
      <c r="G303" s="1" t="s">
        <v>23</v>
      </c>
      <c r="H303" s="1">
        <v>0.25125628100000003</v>
      </c>
      <c r="I303" s="1">
        <v>0.18090452300000001</v>
      </c>
      <c r="J303" s="1">
        <v>0.15075376900000001</v>
      </c>
      <c r="K303" s="1">
        <v>0.17587939699999999</v>
      </c>
      <c r="L303" s="1">
        <v>0.24120602999999999</v>
      </c>
      <c r="M303" s="1" t="s">
        <v>16</v>
      </c>
      <c r="N303" s="1" t="s">
        <v>17</v>
      </c>
    </row>
    <row r="304" spans="1:14" ht="15.75" customHeight="1">
      <c r="A304" s="1">
        <v>0.91545893700000003</v>
      </c>
      <c r="B304" s="1">
        <v>1104</v>
      </c>
      <c r="C304" s="1">
        <v>21</v>
      </c>
      <c r="D304" s="1">
        <v>353</v>
      </c>
      <c r="E304" s="1">
        <v>28200</v>
      </c>
      <c r="F304" s="1">
        <v>28200</v>
      </c>
      <c r="G304" s="1" t="s">
        <v>23</v>
      </c>
      <c r="H304" s="1">
        <v>0.20754717</v>
      </c>
      <c r="I304" s="1">
        <v>0.188679245</v>
      </c>
      <c r="J304" s="1">
        <v>0.16981132099999999</v>
      </c>
      <c r="K304" s="1">
        <v>0.15094339600000001</v>
      </c>
      <c r="L304" s="1">
        <v>0.28301886799999998</v>
      </c>
      <c r="M304" s="1" t="s">
        <v>16</v>
      </c>
      <c r="N304" s="1" t="s">
        <v>17</v>
      </c>
    </row>
    <row r="305" spans="1:14" ht="15.75" customHeight="1">
      <c r="A305" s="1">
        <v>0.57985396</v>
      </c>
      <c r="B305" s="1">
        <v>1145</v>
      </c>
      <c r="C305" s="1">
        <v>23</v>
      </c>
      <c r="D305" s="1">
        <v>2180</v>
      </c>
      <c r="E305" s="1">
        <v>30730</v>
      </c>
      <c r="F305" s="1">
        <v>30730</v>
      </c>
      <c r="G305" s="1" t="s">
        <v>23</v>
      </c>
      <c r="H305" s="1">
        <v>0.16254416999999999</v>
      </c>
      <c r="I305" s="1">
        <v>9.5406359999999996E-2</v>
      </c>
      <c r="J305" s="1">
        <v>0.21201413399999999</v>
      </c>
      <c r="K305" s="1">
        <v>0.20141342800000001</v>
      </c>
      <c r="L305" s="1">
        <v>0.32862190800000002</v>
      </c>
      <c r="M305" s="1" t="s">
        <v>16</v>
      </c>
      <c r="N305" s="1" t="s">
        <v>17</v>
      </c>
    </row>
    <row r="306" spans="1:14" ht="15.75" customHeight="1">
      <c r="A306" s="1">
        <v>0.77577885000000002</v>
      </c>
      <c r="B306" s="1">
        <v>1083</v>
      </c>
      <c r="C306" s="1">
        <v>21</v>
      </c>
      <c r="D306" s="1">
        <v>592</v>
      </c>
      <c r="E306" s="1">
        <v>34188</v>
      </c>
      <c r="F306" s="1">
        <v>34188</v>
      </c>
      <c r="G306" s="1" t="s">
        <v>23</v>
      </c>
      <c r="H306" s="1">
        <v>0.22368421099999999</v>
      </c>
      <c r="I306" s="1">
        <v>0.105263158</v>
      </c>
      <c r="J306" s="1">
        <v>0.111842105</v>
      </c>
      <c r="K306" s="1">
        <v>0.15131578900000001</v>
      </c>
      <c r="L306" s="1">
        <v>0.40789473700000001</v>
      </c>
      <c r="M306" s="1" t="s">
        <v>16</v>
      </c>
      <c r="N306" s="1" t="s">
        <v>17</v>
      </c>
    </row>
    <row r="307" spans="1:14" ht="15.75" customHeight="1">
      <c r="A307" s="1">
        <v>0.342870544</v>
      </c>
      <c r="B307" s="1">
        <v>1114</v>
      </c>
      <c r="C307" s="1">
        <v>22</v>
      </c>
      <c r="D307" s="1">
        <v>868</v>
      </c>
      <c r="E307" s="1">
        <v>19890</v>
      </c>
      <c r="F307" s="1">
        <v>19890</v>
      </c>
      <c r="G307" s="1" t="s">
        <v>23</v>
      </c>
      <c r="H307" s="1">
        <v>0.16875000000000001</v>
      </c>
      <c r="I307" s="1">
        <v>0.13750000000000001</v>
      </c>
      <c r="J307" s="1">
        <v>0.13750000000000001</v>
      </c>
      <c r="K307" s="1">
        <v>0.14374999999999999</v>
      </c>
      <c r="L307" s="1">
        <v>0.41249999999999998</v>
      </c>
      <c r="M307" s="1" t="s">
        <v>16</v>
      </c>
      <c r="N307" s="1" t="s">
        <v>17</v>
      </c>
    </row>
    <row r="308" spans="1:14" ht="15.75" customHeight="1">
      <c r="A308" s="1">
        <v>0.72635702300000005</v>
      </c>
      <c r="B308" s="1">
        <v>1170</v>
      </c>
      <c r="C308" s="1">
        <v>25</v>
      </c>
      <c r="D308" s="1">
        <v>1052</v>
      </c>
      <c r="E308" s="1">
        <v>40352</v>
      </c>
      <c r="F308" s="1">
        <v>40352</v>
      </c>
      <c r="G308" s="1" t="s">
        <v>23</v>
      </c>
      <c r="H308" s="1">
        <v>7.6470588000000006E-2</v>
      </c>
      <c r="I308" s="1">
        <v>8.2352940999999999E-2</v>
      </c>
      <c r="J308" s="1">
        <v>0.147058824</v>
      </c>
      <c r="K308" s="1">
        <v>0.17647058800000001</v>
      </c>
      <c r="L308" s="1">
        <v>0.51764705899999996</v>
      </c>
      <c r="M308" s="1" t="s">
        <v>16</v>
      </c>
      <c r="N308" s="1" t="s">
        <v>17</v>
      </c>
    </row>
    <row r="309" spans="1:14" ht="15.75" customHeight="1">
      <c r="A309" s="1">
        <v>0.64197530899999999</v>
      </c>
      <c r="B309" s="1">
        <v>985</v>
      </c>
      <c r="C309" s="1">
        <v>18</v>
      </c>
      <c r="D309" s="1">
        <v>527</v>
      </c>
      <c r="E309" s="1">
        <v>29018</v>
      </c>
      <c r="F309" s="1">
        <v>29018</v>
      </c>
      <c r="G309" s="1" t="s">
        <v>23</v>
      </c>
      <c r="H309" s="1">
        <v>0.171875</v>
      </c>
      <c r="I309" s="1">
        <v>0.203125</v>
      </c>
      <c r="J309" s="1">
        <v>0.1875</v>
      </c>
      <c r="K309" s="1">
        <v>9.375E-2</v>
      </c>
      <c r="L309" s="1">
        <v>0.34375</v>
      </c>
      <c r="M309" s="1" t="s">
        <v>16</v>
      </c>
      <c r="N309" s="1" t="s">
        <v>17</v>
      </c>
    </row>
    <row r="310" spans="1:14" ht="15.75" customHeight="1">
      <c r="A310" s="1">
        <v>0.72875594799999999</v>
      </c>
      <c r="B310" s="1">
        <v>1093</v>
      </c>
      <c r="C310" s="1">
        <v>21</v>
      </c>
      <c r="D310" s="1">
        <v>790</v>
      </c>
      <c r="E310" s="1">
        <v>33252</v>
      </c>
      <c r="F310" s="1">
        <v>33252</v>
      </c>
      <c r="G310" s="1" t="s">
        <v>23</v>
      </c>
      <c r="H310" s="1">
        <v>0.20942408400000001</v>
      </c>
      <c r="I310" s="1">
        <v>0.13612565400000001</v>
      </c>
      <c r="J310" s="1">
        <v>0.18848167499999999</v>
      </c>
      <c r="K310" s="1">
        <v>0.120418848</v>
      </c>
      <c r="L310" s="1">
        <v>0.345549738</v>
      </c>
      <c r="M310" s="1" t="s">
        <v>16</v>
      </c>
      <c r="N310" s="1" t="s">
        <v>17</v>
      </c>
    </row>
    <row r="311" spans="1:14" ht="15.75" customHeight="1">
      <c r="A311" s="1">
        <v>0.900441084</v>
      </c>
      <c r="B311" s="1">
        <v>1148</v>
      </c>
      <c r="C311" s="1">
        <v>23</v>
      </c>
      <c r="D311" s="1">
        <v>1270</v>
      </c>
      <c r="E311" s="1">
        <v>39330</v>
      </c>
      <c r="F311" s="1">
        <v>39330</v>
      </c>
      <c r="G311" s="1" t="s">
        <v>23</v>
      </c>
      <c r="H311" s="1">
        <v>5.7142856999999998E-2</v>
      </c>
      <c r="I311" s="1">
        <v>0.11746031699999999</v>
      </c>
      <c r="J311" s="1">
        <v>0.15555555600000001</v>
      </c>
      <c r="K311" s="1">
        <v>0.24126984100000001</v>
      </c>
      <c r="L311" s="1">
        <v>0.428571429</v>
      </c>
      <c r="M311" s="1" t="s">
        <v>16</v>
      </c>
      <c r="N311" s="1" t="s">
        <v>17</v>
      </c>
    </row>
    <row r="312" spans="1:14" ht="15.75" customHeight="1">
      <c r="A312" s="1">
        <v>0.723096026</v>
      </c>
      <c r="B312" s="1">
        <v>1296</v>
      </c>
      <c r="C312" s="1">
        <v>27</v>
      </c>
      <c r="D312" s="1">
        <v>4231</v>
      </c>
      <c r="E312" s="1">
        <v>47000</v>
      </c>
      <c r="F312" s="1">
        <v>47000</v>
      </c>
      <c r="G312" s="1" t="s">
        <v>23</v>
      </c>
      <c r="H312" s="1">
        <v>6.2240664000000001E-2</v>
      </c>
      <c r="I312" s="1">
        <v>7.4688797000000001E-2</v>
      </c>
      <c r="J312" s="1">
        <v>0.10165975100000001</v>
      </c>
      <c r="K312" s="1">
        <v>0.122406639</v>
      </c>
      <c r="L312" s="1">
        <v>0.63900414900000002</v>
      </c>
      <c r="M312" s="1" t="s">
        <v>16</v>
      </c>
      <c r="N312" s="1" t="s">
        <v>17</v>
      </c>
    </row>
    <row r="313" spans="1:14" ht="15.75" customHeight="1">
      <c r="A313" s="1">
        <v>0.66922005600000001</v>
      </c>
      <c r="B313" s="1">
        <v>1043</v>
      </c>
      <c r="C313" s="1">
        <v>20</v>
      </c>
      <c r="D313" s="1">
        <v>1191</v>
      </c>
      <c r="E313" s="1">
        <v>40270</v>
      </c>
      <c r="F313" s="1">
        <v>40270</v>
      </c>
      <c r="G313" s="1" t="s">
        <v>23</v>
      </c>
      <c r="H313" s="1">
        <v>0.15517241400000001</v>
      </c>
      <c r="I313" s="1">
        <v>9.3103448000000005E-2</v>
      </c>
      <c r="J313" s="1">
        <v>0.14827586200000001</v>
      </c>
      <c r="K313" s="1">
        <v>0.12413793100000001</v>
      </c>
      <c r="L313" s="1">
        <v>0.47931034500000003</v>
      </c>
      <c r="M313" s="1" t="s">
        <v>16</v>
      </c>
      <c r="N313" s="1" t="s">
        <v>17</v>
      </c>
    </row>
    <row r="314" spans="1:14" ht="15.75" customHeight="1">
      <c r="A314" s="1">
        <v>0.83747276699999995</v>
      </c>
      <c r="B314" s="1">
        <v>1209</v>
      </c>
      <c r="C314" s="1">
        <v>25</v>
      </c>
      <c r="D314" s="1">
        <v>1514</v>
      </c>
      <c r="E314" s="1">
        <v>41658</v>
      </c>
      <c r="F314" s="1">
        <v>41658</v>
      </c>
      <c r="G314" s="1" t="s">
        <v>23</v>
      </c>
      <c r="H314" s="1">
        <v>0.16269841299999999</v>
      </c>
      <c r="I314" s="1">
        <v>0.13888888899999999</v>
      </c>
      <c r="J314" s="1">
        <v>0.20634920600000001</v>
      </c>
      <c r="K314" s="1">
        <v>0.146825397</v>
      </c>
      <c r="L314" s="1">
        <v>0.34523809500000002</v>
      </c>
      <c r="M314" s="1" t="s">
        <v>16</v>
      </c>
      <c r="N314" s="1" t="s">
        <v>17</v>
      </c>
    </row>
    <row r="315" spans="1:14" ht="15.75" customHeight="1">
      <c r="A315" s="1">
        <v>0.43953488400000001</v>
      </c>
      <c r="B315" s="1">
        <v>1120</v>
      </c>
      <c r="C315" s="1">
        <v>22</v>
      </c>
      <c r="D315" s="1">
        <v>455</v>
      </c>
      <c r="E315" s="1">
        <v>23340</v>
      </c>
      <c r="F315" s="1">
        <v>23340</v>
      </c>
      <c r="G315" s="1" t="s">
        <v>23</v>
      </c>
      <c r="H315" s="1">
        <v>0.27272727299999999</v>
      </c>
      <c r="I315" s="1">
        <v>0.13636363600000001</v>
      </c>
      <c r="J315" s="1">
        <v>0.16666666699999999</v>
      </c>
      <c r="K315" s="1">
        <v>0.16666666699999999</v>
      </c>
      <c r="L315" s="1">
        <v>0.25757575799999999</v>
      </c>
      <c r="M315" s="1" t="s">
        <v>16</v>
      </c>
      <c r="N315" s="1" t="s">
        <v>17</v>
      </c>
    </row>
    <row r="316" spans="1:14" ht="15.75" customHeight="1">
      <c r="A316" s="1">
        <v>0.47628458499999998</v>
      </c>
      <c r="B316" s="1">
        <v>988</v>
      </c>
      <c r="C316" s="1">
        <v>19</v>
      </c>
      <c r="D316" s="1">
        <v>443</v>
      </c>
      <c r="E316" s="1">
        <v>21600</v>
      </c>
      <c r="F316" s="1">
        <v>21600</v>
      </c>
      <c r="G316" s="1" t="s">
        <v>23</v>
      </c>
      <c r="H316" s="1">
        <v>0.21359223299999999</v>
      </c>
      <c r="I316" s="1">
        <v>0.116504854</v>
      </c>
      <c r="J316" s="1">
        <v>0.145631068</v>
      </c>
      <c r="K316" s="1">
        <v>0.203883495</v>
      </c>
      <c r="L316" s="1">
        <v>0.32038834999999999</v>
      </c>
      <c r="M316" s="1" t="s">
        <v>16</v>
      </c>
      <c r="N316" s="1" t="s">
        <v>17</v>
      </c>
    </row>
    <row r="317" spans="1:14" ht="15.75" customHeight="1">
      <c r="A317" s="1">
        <v>0.78319327699999997</v>
      </c>
      <c r="B317" s="1">
        <v>1183</v>
      </c>
      <c r="C317" s="1">
        <v>26</v>
      </c>
      <c r="D317" s="1">
        <v>2032</v>
      </c>
      <c r="E317" s="1">
        <v>46810</v>
      </c>
      <c r="F317" s="1">
        <v>46810</v>
      </c>
      <c r="G317" s="1" t="s">
        <v>23</v>
      </c>
      <c r="H317" s="1">
        <v>4.0816326999999999E-2</v>
      </c>
      <c r="I317" s="1">
        <v>3.0612245E-2</v>
      </c>
      <c r="J317" s="1">
        <v>8.6734694000000001E-2</v>
      </c>
      <c r="K317" s="1">
        <v>9.4387755000000004E-2</v>
      </c>
      <c r="L317" s="1">
        <v>0.74744898000000004</v>
      </c>
      <c r="M317" s="1" t="s">
        <v>16</v>
      </c>
      <c r="N317" s="1" t="s">
        <v>17</v>
      </c>
    </row>
    <row r="318" spans="1:14" ht="15.75" customHeight="1">
      <c r="A318" s="1">
        <v>0.694396177</v>
      </c>
      <c r="B318" s="1">
        <v>1247</v>
      </c>
      <c r="C318" s="1">
        <v>27</v>
      </c>
      <c r="D318" s="1">
        <v>1510</v>
      </c>
      <c r="E318" s="1">
        <v>45360</v>
      </c>
      <c r="F318" s="1">
        <v>45360</v>
      </c>
      <c r="G318" s="1" t="s">
        <v>23</v>
      </c>
      <c r="H318" s="1">
        <v>0.21491228100000001</v>
      </c>
      <c r="I318" s="1">
        <v>0.100877193</v>
      </c>
      <c r="J318" s="1">
        <v>0.11403508800000001</v>
      </c>
      <c r="K318" s="1">
        <v>0.162280702</v>
      </c>
      <c r="L318" s="1">
        <v>0.40789473700000001</v>
      </c>
      <c r="M318" s="1" t="s">
        <v>16</v>
      </c>
      <c r="N318" s="1" t="s">
        <v>17</v>
      </c>
    </row>
    <row r="319" spans="1:14" ht="15.75" customHeight="1">
      <c r="A319" s="1">
        <v>0.895362663</v>
      </c>
      <c r="B319" s="1">
        <v>1204</v>
      </c>
      <c r="C319" s="1">
        <v>26</v>
      </c>
      <c r="D319" s="1">
        <v>3831</v>
      </c>
      <c r="E319" s="1">
        <v>44850</v>
      </c>
      <c r="F319" s="1">
        <v>44850</v>
      </c>
      <c r="G319" s="1" t="s">
        <v>23</v>
      </c>
      <c r="H319" s="1">
        <v>0.18127786000000001</v>
      </c>
      <c r="I319" s="1">
        <v>0.104011887</v>
      </c>
      <c r="J319" s="1">
        <v>0.13075780100000001</v>
      </c>
      <c r="K319" s="1">
        <v>0.112927192</v>
      </c>
      <c r="L319" s="1">
        <v>0.47102526</v>
      </c>
      <c r="M319" s="1" t="s">
        <v>16</v>
      </c>
      <c r="N319" s="1" t="s">
        <v>17</v>
      </c>
    </row>
    <row r="320" spans="1:14" ht="15.75" customHeight="1">
      <c r="A320" s="1">
        <v>0.79402359700000003</v>
      </c>
      <c r="B320" s="1">
        <v>1219</v>
      </c>
      <c r="C320" s="1">
        <v>27</v>
      </c>
      <c r="D320" s="1">
        <v>3192</v>
      </c>
      <c r="E320" s="1">
        <v>38900</v>
      </c>
      <c r="F320" s="1">
        <v>38900</v>
      </c>
      <c r="G320" s="1" t="s">
        <v>23</v>
      </c>
      <c r="H320" s="1">
        <v>0.183391003</v>
      </c>
      <c r="I320" s="1">
        <v>0.14878892699999999</v>
      </c>
      <c r="J320" s="1">
        <v>0.15397923899999999</v>
      </c>
      <c r="K320" s="1">
        <v>0.15916954999999999</v>
      </c>
      <c r="L320" s="1">
        <v>0.35467127999999998</v>
      </c>
      <c r="M320" s="1" t="s">
        <v>16</v>
      </c>
      <c r="N320" s="1" t="s">
        <v>17</v>
      </c>
    </row>
    <row r="321" spans="1:14" ht="15.75" customHeight="1">
      <c r="A321" s="1">
        <v>0.78903486599999995</v>
      </c>
      <c r="B321" s="1">
        <v>1308</v>
      </c>
      <c r="C321" s="1">
        <v>29</v>
      </c>
      <c r="D321" s="1">
        <v>5924</v>
      </c>
      <c r="E321" s="1">
        <v>51370</v>
      </c>
      <c r="F321" s="1">
        <v>51370</v>
      </c>
      <c r="G321" s="1" t="s">
        <v>23</v>
      </c>
      <c r="H321" s="1">
        <v>0.23402340199999999</v>
      </c>
      <c r="I321" s="1">
        <v>0.15931593199999999</v>
      </c>
      <c r="J321" s="1">
        <v>0.14491449100000001</v>
      </c>
      <c r="K321" s="1">
        <v>0.116111611</v>
      </c>
      <c r="L321" s="1">
        <v>0.34563456300000001</v>
      </c>
      <c r="M321" s="1" t="s">
        <v>16</v>
      </c>
      <c r="N321" s="1" t="s">
        <v>17</v>
      </c>
    </row>
    <row r="322" spans="1:14" ht="15.75" customHeight="1">
      <c r="A322" s="1">
        <v>0.77511542300000003</v>
      </c>
      <c r="B322" s="1">
        <v>1224</v>
      </c>
      <c r="C322" s="1">
        <v>28</v>
      </c>
      <c r="D322" s="1">
        <v>5077</v>
      </c>
      <c r="E322" s="1">
        <v>47290</v>
      </c>
      <c r="F322" s="1">
        <v>47290</v>
      </c>
      <c r="G322" s="1" t="s">
        <v>23</v>
      </c>
      <c r="H322" s="1">
        <v>0.19649122799999999</v>
      </c>
      <c r="I322" s="1">
        <v>0.12046783599999999</v>
      </c>
      <c r="J322" s="1">
        <v>0.147368421</v>
      </c>
      <c r="K322" s="1">
        <v>0.12514619900000001</v>
      </c>
      <c r="L322" s="1">
        <v>0.410526316</v>
      </c>
      <c r="M322" s="1" t="s">
        <v>16</v>
      </c>
      <c r="N322" s="1" t="s">
        <v>17</v>
      </c>
    </row>
    <row r="323" spans="1:14" ht="15.75" customHeight="1">
      <c r="A323" s="1">
        <v>0.59075043599999999</v>
      </c>
      <c r="B323" s="1">
        <v>1280</v>
      </c>
      <c r="C323" s="1">
        <v>31</v>
      </c>
      <c r="D323" s="1">
        <v>509</v>
      </c>
      <c r="E323" s="1">
        <v>40375</v>
      </c>
      <c r="F323" s="1">
        <v>40375</v>
      </c>
      <c r="G323" s="1" t="s">
        <v>23</v>
      </c>
      <c r="H323" s="1">
        <v>8.8888888999999999E-2</v>
      </c>
      <c r="I323" s="1">
        <v>7.7777778000000006E-2</v>
      </c>
      <c r="J323" s="1">
        <v>0.15555555600000001</v>
      </c>
      <c r="K323" s="1">
        <v>0.21111111099999999</v>
      </c>
      <c r="L323" s="1">
        <v>0.46666666699999998</v>
      </c>
      <c r="M323" s="1" t="s">
        <v>16</v>
      </c>
      <c r="N323" s="1" t="s">
        <v>17</v>
      </c>
    </row>
    <row r="324" spans="1:14" ht="15.75" customHeight="1">
      <c r="A324" s="1">
        <v>0.48331400600000002</v>
      </c>
      <c r="B324" s="1">
        <v>1205</v>
      </c>
      <c r="C324" s="1">
        <v>27</v>
      </c>
      <c r="D324" s="1">
        <v>1401</v>
      </c>
      <c r="E324" s="1">
        <v>39530</v>
      </c>
      <c r="F324" s="1">
        <v>39530</v>
      </c>
      <c r="G324" s="1" t="s">
        <v>23</v>
      </c>
      <c r="H324" s="1">
        <v>0.241486068</v>
      </c>
      <c r="I324" s="1">
        <v>0.123839009</v>
      </c>
      <c r="J324" s="1">
        <v>0.17647058800000001</v>
      </c>
      <c r="K324" s="1">
        <v>0.15479876200000001</v>
      </c>
      <c r="L324" s="1">
        <v>0.30340557299999998</v>
      </c>
      <c r="M324" s="1" t="s">
        <v>16</v>
      </c>
      <c r="N324" s="1" t="s">
        <v>17</v>
      </c>
    </row>
    <row r="325" spans="1:14" ht="15.75" customHeight="1">
      <c r="A325" s="1">
        <v>0.53961827600000001</v>
      </c>
      <c r="B325" s="1">
        <v>1387</v>
      </c>
      <c r="C325" s="1">
        <v>31</v>
      </c>
      <c r="D325" s="1">
        <v>2280</v>
      </c>
      <c r="E325" s="1">
        <v>63612</v>
      </c>
      <c r="F325" s="1">
        <v>63612</v>
      </c>
      <c r="G325" s="1" t="s">
        <v>23</v>
      </c>
      <c r="H325" s="1">
        <v>0.12202381</v>
      </c>
      <c r="I325" s="1">
        <v>9.2261905000000005E-2</v>
      </c>
      <c r="J325" s="1">
        <v>0.104166667</v>
      </c>
      <c r="K325" s="1">
        <v>0.19047618999999999</v>
      </c>
      <c r="L325" s="1">
        <v>0.491071429</v>
      </c>
      <c r="M325" s="1" t="s">
        <v>16</v>
      </c>
      <c r="N325" s="1" t="s">
        <v>17</v>
      </c>
    </row>
    <row r="326" spans="1:14" ht="15.75" customHeight="1">
      <c r="A326" s="1">
        <v>7.9640769E-2</v>
      </c>
      <c r="B326" s="1">
        <v>1500</v>
      </c>
      <c r="C326" s="1">
        <v>33</v>
      </c>
      <c r="D326" s="1">
        <v>3219</v>
      </c>
      <c r="E326" s="1">
        <v>66246</v>
      </c>
      <c r="F326" s="1">
        <v>66246</v>
      </c>
      <c r="G326" s="1" t="s">
        <v>23</v>
      </c>
      <c r="H326" s="1">
        <v>8.2294264000000006E-2</v>
      </c>
      <c r="I326" s="1">
        <v>8.9775561000000004E-2</v>
      </c>
      <c r="J326" s="1">
        <v>0.16458852900000001</v>
      </c>
      <c r="K326" s="1">
        <v>0.12718204499999999</v>
      </c>
      <c r="L326" s="1">
        <v>0.53615960100000004</v>
      </c>
      <c r="M326" s="1" t="s">
        <v>16</v>
      </c>
      <c r="N326" s="1" t="s">
        <v>17</v>
      </c>
    </row>
    <row r="327" spans="1:14" ht="15.75" customHeight="1">
      <c r="A327" s="1">
        <v>0.77160745900000005</v>
      </c>
      <c r="B327" s="1">
        <v>1307</v>
      </c>
      <c r="C327" s="1">
        <v>29</v>
      </c>
      <c r="D327" s="1">
        <v>2449</v>
      </c>
      <c r="E327" s="1">
        <v>57950</v>
      </c>
      <c r="F327" s="1">
        <v>57950</v>
      </c>
      <c r="G327" s="1" t="s">
        <v>23</v>
      </c>
      <c r="H327" s="1">
        <v>9.5022624E-2</v>
      </c>
      <c r="I327" s="1">
        <v>6.5610859999999993E-2</v>
      </c>
      <c r="J327" s="1">
        <v>0.13574660599999999</v>
      </c>
      <c r="K327" s="1">
        <v>0.17194570100000001</v>
      </c>
      <c r="L327" s="1">
        <v>0.53167420799999998</v>
      </c>
      <c r="M327" s="1" t="s">
        <v>16</v>
      </c>
      <c r="N327" s="1" t="s">
        <v>17</v>
      </c>
    </row>
    <row r="328" spans="1:14" ht="15.75" customHeight="1">
      <c r="A328" s="1">
        <v>0.11954567000000001</v>
      </c>
      <c r="B328" s="1">
        <v>1480</v>
      </c>
      <c r="C328" s="1">
        <v>33</v>
      </c>
      <c r="D328" s="1">
        <v>3122</v>
      </c>
      <c r="E328" s="1">
        <v>67024</v>
      </c>
      <c r="F328" s="1">
        <v>67024</v>
      </c>
      <c r="G328" s="1" t="s">
        <v>23</v>
      </c>
      <c r="H328" s="1">
        <v>0.201005025</v>
      </c>
      <c r="I328" s="1">
        <v>0.15075376900000001</v>
      </c>
      <c r="J328" s="1">
        <v>0.155778894</v>
      </c>
      <c r="K328" s="1">
        <v>8.5427136000000001E-2</v>
      </c>
      <c r="L328" s="1">
        <v>0.407035176</v>
      </c>
      <c r="M328" s="1" t="s">
        <v>16</v>
      </c>
      <c r="N328" s="1" t="s">
        <v>17</v>
      </c>
    </row>
    <row r="329" spans="1:14" ht="15.75" customHeight="1">
      <c r="A329" s="1">
        <v>0.190502793</v>
      </c>
      <c r="B329" s="1">
        <v>1480</v>
      </c>
      <c r="C329" s="1">
        <v>33</v>
      </c>
      <c r="D329" s="1">
        <v>891</v>
      </c>
      <c r="E329" s="1">
        <v>46820</v>
      </c>
      <c r="F329" s="1">
        <v>46820</v>
      </c>
      <c r="G329" s="1" t="s">
        <v>23</v>
      </c>
      <c r="H329" s="1">
        <v>0.21111111099999999</v>
      </c>
      <c r="I329" s="1">
        <v>0.25555555600000002</v>
      </c>
      <c r="J329" s="1">
        <v>0.111111111</v>
      </c>
      <c r="K329" s="1">
        <v>0.1</v>
      </c>
      <c r="L329" s="1">
        <v>0.322222222</v>
      </c>
      <c r="M329" s="1" t="s">
        <v>16</v>
      </c>
      <c r="N329" s="1" t="s">
        <v>17</v>
      </c>
    </row>
    <row r="330" spans="1:14" ht="15.75" customHeight="1">
      <c r="A330" s="1">
        <v>0.91763072700000003</v>
      </c>
      <c r="B330" s="1">
        <v>1089</v>
      </c>
      <c r="C330" s="1">
        <v>22</v>
      </c>
      <c r="D330" s="1">
        <v>2988</v>
      </c>
      <c r="E330" s="1">
        <v>38410</v>
      </c>
      <c r="F330" s="1">
        <v>38410</v>
      </c>
      <c r="G330" s="1" t="s">
        <v>23</v>
      </c>
      <c r="H330" s="1">
        <v>0.20123838999999999</v>
      </c>
      <c r="I330" s="1">
        <v>0.15170278600000001</v>
      </c>
      <c r="J330" s="1">
        <v>0.16408668700000001</v>
      </c>
      <c r="K330" s="1">
        <v>0.18575851400000001</v>
      </c>
      <c r="L330" s="1">
        <v>0.29721362200000001</v>
      </c>
      <c r="M330" s="1" t="s">
        <v>16</v>
      </c>
      <c r="N330" s="1" t="s">
        <v>17</v>
      </c>
    </row>
    <row r="331" spans="1:14" ht="15.75" customHeight="1">
      <c r="A331" s="1">
        <v>0.11770195999999999</v>
      </c>
      <c r="B331" s="1">
        <v>1487</v>
      </c>
      <c r="C331" s="1">
        <v>33</v>
      </c>
      <c r="D331" s="1">
        <v>2045</v>
      </c>
      <c r="E331" s="1">
        <v>65740</v>
      </c>
      <c r="F331" s="1">
        <v>65740</v>
      </c>
      <c r="G331" s="1" t="s">
        <v>23</v>
      </c>
      <c r="H331" s="1">
        <v>0.22274881499999999</v>
      </c>
      <c r="I331" s="1">
        <v>9.478673E-2</v>
      </c>
      <c r="J331" s="1">
        <v>0.113744076</v>
      </c>
      <c r="K331" s="1">
        <v>0.14691943099999999</v>
      </c>
      <c r="L331" s="1">
        <v>0.42180094800000001</v>
      </c>
      <c r="M331" s="1" t="s">
        <v>16</v>
      </c>
      <c r="N331" s="1" t="s">
        <v>17</v>
      </c>
    </row>
    <row r="332" spans="1:14" ht="15.75" customHeight="1">
      <c r="A332" s="1">
        <v>0.57284172700000002</v>
      </c>
      <c r="B332" s="1">
        <v>1296</v>
      </c>
      <c r="C332" s="1">
        <v>28</v>
      </c>
      <c r="D332" s="1">
        <v>1606</v>
      </c>
      <c r="E332" s="1">
        <v>63268</v>
      </c>
      <c r="F332" s="1">
        <v>63268</v>
      </c>
      <c r="G332" s="1" t="s">
        <v>23</v>
      </c>
      <c r="H332" s="1">
        <v>0.123167155</v>
      </c>
      <c r="I332" s="1">
        <v>7.3313782999999993E-2</v>
      </c>
      <c r="J332" s="1">
        <v>0.105571848</v>
      </c>
      <c r="K332" s="1">
        <v>0.15542522</v>
      </c>
      <c r="L332" s="1">
        <v>0.54252199400000001</v>
      </c>
      <c r="M332" s="1" t="s">
        <v>16</v>
      </c>
      <c r="N332" s="1" t="s">
        <v>17</v>
      </c>
    </row>
    <row r="333" spans="1:14" ht="15.75" customHeight="1">
      <c r="A333" s="1">
        <v>0.70585408500000002</v>
      </c>
      <c r="B333" s="1">
        <v>1294</v>
      </c>
      <c r="C333" s="1">
        <v>28</v>
      </c>
      <c r="D333" s="1">
        <v>6155</v>
      </c>
      <c r="E333" s="1">
        <v>55450</v>
      </c>
      <c r="F333" s="1">
        <v>55450</v>
      </c>
      <c r="G333" s="1" t="s">
        <v>23</v>
      </c>
      <c r="H333" s="1">
        <v>0.19216061200000001</v>
      </c>
      <c r="I333" s="1">
        <v>0.13575525799999999</v>
      </c>
      <c r="J333" s="1">
        <v>0.13384321199999999</v>
      </c>
      <c r="K333" s="1">
        <v>0.15009560199999999</v>
      </c>
      <c r="L333" s="1">
        <v>0.38814531499999999</v>
      </c>
      <c r="M333" s="1" t="s">
        <v>16</v>
      </c>
      <c r="N333" s="1" t="s">
        <v>17</v>
      </c>
    </row>
    <row r="334" spans="1:14" ht="15.75" customHeight="1">
      <c r="A334" s="1">
        <v>0.92696629200000003</v>
      </c>
      <c r="B334" s="1">
        <v>1297</v>
      </c>
      <c r="C334" s="1">
        <v>26</v>
      </c>
      <c r="D334" s="1">
        <v>867</v>
      </c>
      <c r="E334" s="1">
        <v>17290</v>
      </c>
      <c r="F334" s="1">
        <v>17290</v>
      </c>
      <c r="G334" s="1" t="s">
        <v>23</v>
      </c>
      <c r="H334" s="1">
        <v>0.17424242400000001</v>
      </c>
      <c r="I334" s="1">
        <v>0.12121212100000001</v>
      </c>
      <c r="J334" s="1">
        <v>0.234848485</v>
      </c>
      <c r="K334" s="1">
        <v>0.196969697</v>
      </c>
      <c r="L334" s="1">
        <v>0.27272727299999999</v>
      </c>
      <c r="M334" s="1" t="s">
        <v>16</v>
      </c>
      <c r="N334" s="1" t="s">
        <v>17</v>
      </c>
    </row>
    <row r="335" spans="1:14" ht="15.75" customHeight="1">
      <c r="A335" s="1">
        <v>0.911373302</v>
      </c>
      <c r="B335" s="1">
        <v>1167</v>
      </c>
      <c r="C335" s="1">
        <v>23</v>
      </c>
      <c r="D335" s="1">
        <v>2731</v>
      </c>
      <c r="E335" s="1">
        <v>45880</v>
      </c>
      <c r="F335" s="1">
        <v>45880</v>
      </c>
      <c r="G335" s="1" t="s">
        <v>23</v>
      </c>
      <c r="H335" s="1">
        <v>0.21928166399999999</v>
      </c>
      <c r="I335" s="1">
        <v>0.14555765600000001</v>
      </c>
      <c r="J335" s="1">
        <v>0.18147447999999999</v>
      </c>
      <c r="K335" s="1">
        <v>0.11342155</v>
      </c>
      <c r="L335" s="1">
        <v>0.34026465</v>
      </c>
      <c r="M335" s="1" t="s">
        <v>16</v>
      </c>
      <c r="N335" s="1" t="s">
        <v>17</v>
      </c>
    </row>
    <row r="336" spans="1:14" ht="15.75" customHeight="1">
      <c r="A336" s="1">
        <v>0.69942533500000004</v>
      </c>
      <c r="B336" s="1">
        <v>1285</v>
      </c>
      <c r="C336" s="1">
        <v>29</v>
      </c>
      <c r="D336" s="1">
        <v>4350</v>
      </c>
      <c r="E336" s="1">
        <v>50510</v>
      </c>
      <c r="F336" s="1">
        <v>50510</v>
      </c>
      <c r="G336" s="1" t="s">
        <v>23</v>
      </c>
      <c r="H336" s="1">
        <v>0.120985011</v>
      </c>
      <c r="I336" s="1">
        <v>7.0663812000000006E-2</v>
      </c>
      <c r="J336" s="1">
        <v>0.111349036</v>
      </c>
      <c r="K336" s="1">
        <v>0.152034261</v>
      </c>
      <c r="L336" s="1">
        <v>0.54496787999999996</v>
      </c>
      <c r="M336" s="1" t="s">
        <v>16</v>
      </c>
      <c r="N336" s="1" t="s">
        <v>17</v>
      </c>
    </row>
    <row r="337" spans="1:14" ht="15.75" customHeight="1">
      <c r="A337" s="1">
        <v>0.45070422500000001</v>
      </c>
      <c r="B337" s="1">
        <v>1507</v>
      </c>
      <c r="C337" s="1">
        <v>34</v>
      </c>
      <c r="D337" s="1">
        <v>172</v>
      </c>
      <c r="E337" s="1">
        <v>65545</v>
      </c>
      <c r="F337" s="1">
        <v>65545</v>
      </c>
      <c r="G337" s="1" t="s">
        <v>23</v>
      </c>
      <c r="H337" s="1">
        <v>0.25</v>
      </c>
      <c r="I337" s="1">
        <v>0</v>
      </c>
      <c r="J337" s="1">
        <v>0.25</v>
      </c>
      <c r="K337" s="1">
        <v>0</v>
      </c>
      <c r="L337" s="1">
        <v>0.5</v>
      </c>
      <c r="M337" s="1" t="s">
        <v>16</v>
      </c>
      <c r="N337" s="1" t="s">
        <v>17</v>
      </c>
    </row>
    <row r="338" spans="1:14" ht="15.75" customHeight="1">
      <c r="A338" s="1">
        <v>0.75288653000000005</v>
      </c>
      <c r="B338" s="1">
        <v>1260</v>
      </c>
      <c r="C338" s="1">
        <v>28</v>
      </c>
      <c r="D338" s="1">
        <v>2434</v>
      </c>
      <c r="E338" s="1">
        <v>38970</v>
      </c>
      <c r="F338" s="1">
        <v>38970</v>
      </c>
      <c r="G338" s="1" t="s">
        <v>23</v>
      </c>
      <c r="H338" s="1">
        <v>0.18346774199999999</v>
      </c>
      <c r="I338" s="1">
        <v>0.13911290300000001</v>
      </c>
      <c r="J338" s="1">
        <v>0.15322580599999999</v>
      </c>
      <c r="K338" s="1">
        <v>0.16330645199999999</v>
      </c>
      <c r="L338" s="1">
        <v>0.36088709699999999</v>
      </c>
      <c r="M338" s="1" t="s">
        <v>16</v>
      </c>
      <c r="N338" s="1" t="s">
        <v>17</v>
      </c>
    </row>
    <row r="339" spans="1:14" ht="15.75" customHeight="1">
      <c r="A339" s="1">
        <v>0.89772543999999999</v>
      </c>
      <c r="B339" s="1">
        <v>1259</v>
      </c>
      <c r="C339" s="1">
        <v>28</v>
      </c>
      <c r="D339" s="1">
        <v>5478</v>
      </c>
      <c r="E339" s="1">
        <v>41642</v>
      </c>
      <c r="F339" s="1">
        <v>41642</v>
      </c>
      <c r="G339" s="1" t="s">
        <v>23</v>
      </c>
      <c r="H339" s="1">
        <v>0.313235294</v>
      </c>
      <c r="I339" s="1">
        <v>0.2</v>
      </c>
      <c r="J339" s="1">
        <v>0.170588235</v>
      </c>
      <c r="K339" s="1">
        <v>9.7058824000000002E-2</v>
      </c>
      <c r="L339" s="1">
        <v>0.219117647</v>
      </c>
      <c r="M339" s="1" t="s">
        <v>16</v>
      </c>
      <c r="N339" s="1" t="s">
        <v>17</v>
      </c>
    </row>
    <row r="340" spans="1:14" ht="15.75" customHeight="1">
      <c r="A340" s="1">
        <v>0.78489263799999998</v>
      </c>
      <c r="B340" s="1">
        <v>1254</v>
      </c>
      <c r="C340" s="1">
        <v>25</v>
      </c>
      <c r="D340" s="1">
        <v>2928</v>
      </c>
      <c r="E340" s="1">
        <v>50850</v>
      </c>
      <c r="F340" s="1">
        <v>50850</v>
      </c>
      <c r="G340" s="1" t="s">
        <v>23</v>
      </c>
      <c r="H340" s="1">
        <v>0.256862745</v>
      </c>
      <c r="I340" s="1">
        <v>0.15294117600000001</v>
      </c>
      <c r="J340" s="1">
        <v>0.141176471</v>
      </c>
      <c r="K340" s="1">
        <v>0.11176470600000001</v>
      </c>
      <c r="L340" s="1">
        <v>0.33725490200000002</v>
      </c>
      <c r="M340" s="1" t="s">
        <v>16</v>
      </c>
      <c r="N340" s="1" t="s">
        <v>17</v>
      </c>
    </row>
    <row r="341" spans="1:14" ht="15.75" customHeight="1">
      <c r="A341" s="1">
        <v>0.64710485100000004</v>
      </c>
      <c r="B341" s="1">
        <v>1285</v>
      </c>
      <c r="C341" s="1">
        <v>28</v>
      </c>
      <c r="D341" s="1">
        <v>5039</v>
      </c>
      <c r="E341" s="1">
        <v>46140</v>
      </c>
      <c r="F341" s="1">
        <v>46140</v>
      </c>
      <c r="G341" s="1" t="s">
        <v>23</v>
      </c>
      <c r="H341" s="1">
        <v>9.3862816000000002E-2</v>
      </c>
      <c r="I341" s="1">
        <v>5.4151625000000002E-2</v>
      </c>
      <c r="J341" s="1">
        <v>7.0397111999999998E-2</v>
      </c>
      <c r="K341" s="1">
        <v>8.4837545E-2</v>
      </c>
      <c r="L341" s="1">
        <v>0.69675090299999998</v>
      </c>
      <c r="M341" s="1" t="s">
        <v>16</v>
      </c>
      <c r="N341" s="1" t="s">
        <v>17</v>
      </c>
    </row>
    <row r="342" spans="1:14" ht="15.75" customHeight="1">
      <c r="A342" s="1">
        <v>0.788768739</v>
      </c>
      <c r="B342" s="1">
        <v>1226</v>
      </c>
      <c r="C342" s="1">
        <v>27</v>
      </c>
      <c r="D342" s="1">
        <v>1627</v>
      </c>
      <c r="E342" s="1">
        <v>40260</v>
      </c>
      <c r="F342" s="1">
        <v>40260</v>
      </c>
      <c r="G342" s="1" t="s">
        <v>23</v>
      </c>
      <c r="H342" s="1">
        <v>0.188365651</v>
      </c>
      <c r="I342" s="1">
        <v>0.130193906</v>
      </c>
      <c r="J342" s="1">
        <v>0.12188365700000001</v>
      </c>
      <c r="K342" s="1">
        <v>0.113573407</v>
      </c>
      <c r="L342" s="1">
        <v>0.44598337999999998</v>
      </c>
      <c r="M342" s="1" t="s">
        <v>16</v>
      </c>
      <c r="N342" s="1" t="s">
        <v>17</v>
      </c>
    </row>
    <row r="343" spans="1:14" ht="15.75" customHeight="1">
      <c r="A343" s="1">
        <v>0.75643461700000003</v>
      </c>
      <c r="B343" s="1">
        <v>1193</v>
      </c>
      <c r="C343" s="1">
        <v>26</v>
      </c>
      <c r="D343" s="1">
        <v>3185</v>
      </c>
      <c r="E343" s="1">
        <v>37840</v>
      </c>
      <c r="F343" s="1">
        <v>37840</v>
      </c>
      <c r="G343" s="1" t="s">
        <v>23</v>
      </c>
      <c r="H343" s="1">
        <v>0.20886075900000001</v>
      </c>
      <c r="I343" s="1">
        <v>0.16033755299999999</v>
      </c>
      <c r="J343" s="1">
        <v>0.16033755299999999</v>
      </c>
      <c r="K343" s="1">
        <v>9.9156118000000001E-2</v>
      </c>
      <c r="L343" s="1">
        <v>0.37130801699999999</v>
      </c>
      <c r="M343" s="1" t="s">
        <v>16</v>
      </c>
      <c r="N343" s="1" t="s">
        <v>17</v>
      </c>
    </row>
    <row r="344" spans="1:14" ht="15.75" customHeight="1">
      <c r="A344" s="1">
        <v>0.79496402899999996</v>
      </c>
      <c r="B344" s="1">
        <v>1256</v>
      </c>
      <c r="C344" s="1">
        <v>28</v>
      </c>
      <c r="D344" s="1">
        <v>1891</v>
      </c>
      <c r="E344" s="1">
        <v>40880</v>
      </c>
      <c r="F344" s="1">
        <v>40880</v>
      </c>
      <c r="G344" s="1" t="s">
        <v>23</v>
      </c>
      <c r="H344" s="1">
        <v>0.124010554</v>
      </c>
      <c r="I344" s="1">
        <v>8.1794195E-2</v>
      </c>
      <c r="J344" s="1">
        <v>0.13192612100000001</v>
      </c>
      <c r="K344" s="1">
        <v>0.15567282299999999</v>
      </c>
      <c r="L344" s="1">
        <v>0.50659630600000005</v>
      </c>
      <c r="M344" s="1" t="s">
        <v>16</v>
      </c>
      <c r="N344" s="1" t="s">
        <v>17</v>
      </c>
    </row>
    <row r="345" spans="1:14" ht="15.75" customHeight="1">
      <c r="A345" s="1">
        <v>0.85342333699999995</v>
      </c>
      <c r="B345" s="1">
        <v>1155</v>
      </c>
      <c r="C345" s="1">
        <v>25</v>
      </c>
      <c r="D345" s="1">
        <v>2713</v>
      </c>
      <c r="E345" s="1">
        <v>38135</v>
      </c>
      <c r="F345" s="1">
        <v>38135</v>
      </c>
      <c r="G345" s="1" t="s">
        <v>23</v>
      </c>
      <c r="H345" s="1">
        <v>0.138014528</v>
      </c>
      <c r="I345" s="1">
        <v>0.14769975799999999</v>
      </c>
      <c r="J345" s="1">
        <v>0.16707021799999999</v>
      </c>
      <c r="K345" s="1">
        <v>0.169491525</v>
      </c>
      <c r="L345" s="1">
        <v>0.37772397099999999</v>
      </c>
      <c r="M345" s="1" t="s">
        <v>16</v>
      </c>
      <c r="N345" s="1" t="s">
        <v>17</v>
      </c>
    </row>
    <row r="346" spans="1:14" ht="15.75" customHeight="1">
      <c r="A346" s="1">
        <v>0.78078051400000004</v>
      </c>
      <c r="B346" s="1">
        <v>1290</v>
      </c>
      <c r="C346" s="1">
        <v>29</v>
      </c>
      <c r="D346" s="1">
        <v>3320</v>
      </c>
      <c r="E346" s="1">
        <v>44360</v>
      </c>
      <c r="F346" s="1">
        <v>44360</v>
      </c>
      <c r="G346" s="1" t="s">
        <v>23</v>
      </c>
      <c r="H346" s="1">
        <v>0.34529914499999997</v>
      </c>
      <c r="I346" s="1">
        <v>0.20341880300000001</v>
      </c>
      <c r="J346" s="1">
        <v>0.18290598299999999</v>
      </c>
      <c r="K346" s="1">
        <v>0.104273504</v>
      </c>
      <c r="L346" s="1">
        <v>0.16410256400000001</v>
      </c>
      <c r="M346" s="1" t="s">
        <v>16</v>
      </c>
      <c r="N346" s="1" t="s">
        <v>17</v>
      </c>
    </row>
    <row r="347" spans="1:14" ht="15.75" customHeight="1">
      <c r="A347" s="1">
        <v>0.77140047099999998</v>
      </c>
      <c r="B347" s="1">
        <v>1232</v>
      </c>
      <c r="C347" s="1">
        <v>27</v>
      </c>
      <c r="D347" s="1">
        <v>7725</v>
      </c>
      <c r="E347" s="1">
        <v>51424</v>
      </c>
      <c r="F347" s="1">
        <v>51424</v>
      </c>
      <c r="G347" s="1" t="s">
        <v>23</v>
      </c>
      <c r="H347" s="1">
        <v>0.20144404299999999</v>
      </c>
      <c r="I347" s="1">
        <v>0.140794224</v>
      </c>
      <c r="J347" s="1">
        <v>0.17472924200000001</v>
      </c>
      <c r="K347" s="1">
        <v>0.13068592100000001</v>
      </c>
      <c r="L347" s="1">
        <v>0.35234657000000003</v>
      </c>
      <c r="M347" s="1" t="s">
        <v>16</v>
      </c>
      <c r="N347" s="1" t="s">
        <v>17</v>
      </c>
    </row>
    <row r="348" spans="1:14" ht="15.75" customHeight="1">
      <c r="A348" s="1">
        <v>0.53169907000000005</v>
      </c>
      <c r="B348" s="1">
        <v>1339</v>
      </c>
      <c r="C348" s="1">
        <v>30</v>
      </c>
      <c r="D348" s="1">
        <v>3766</v>
      </c>
      <c r="E348" s="1">
        <v>59683</v>
      </c>
      <c r="F348" s="1">
        <v>59683</v>
      </c>
      <c r="G348" s="1" t="s">
        <v>23</v>
      </c>
      <c r="H348" s="1">
        <v>0.23155216300000001</v>
      </c>
      <c r="I348" s="1">
        <v>0.122137405</v>
      </c>
      <c r="J348" s="1">
        <v>0.150127226</v>
      </c>
      <c r="K348" s="1">
        <v>0.10178117</v>
      </c>
      <c r="L348" s="1">
        <v>0.39440203600000001</v>
      </c>
      <c r="M348" s="1" t="s">
        <v>16</v>
      </c>
      <c r="N348" s="1" t="s">
        <v>17</v>
      </c>
    </row>
    <row r="349" spans="1:14" ht="15.75" customHeight="1">
      <c r="A349" s="1">
        <v>0.81530588500000001</v>
      </c>
      <c r="B349" s="1">
        <v>1181</v>
      </c>
      <c r="C349" s="1">
        <v>26</v>
      </c>
      <c r="D349" s="1">
        <v>1892</v>
      </c>
      <c r="E349" s="1">
        <v>40150</v>
      </c>
      <c r="F349" s="1">
        <v>40150</v>
      </c>
      <c r="G349" s="1" t="s">
        <v>23</v>
      </c>
      <c r="H349" s="1">
        <v>0.11009174300000001</v>
      </c>
      <c r="I349" s="1">
        <v>0.10275229399999999</v>
      </c>
      <c r="J349" s="1">
        <v>9.9082568999999995E-2</v>
      </c>
      <c r="K349" s="1">
        <v>0.21284403700000001</v>
      </c>
      <c r="L349" s="1">
        <v>0.47522935799999999</v>
      </c>
      <c r="M349" s="1" t="s">
        <v>16</v>
      </c>
      <c r="N349" s="1" t="s">
        <v>17</v>
      </c>
    </row>
    <row r="350" spans="1:14" ht="15.75" customHeight="1">
      <c r="A350" s="1">
        <v>0.58468418099999997</v>
      </c>
      <c r="B350" s="1">
        <v>1343</v>
      </c>
      <c r="C350" s="1">
        <v>31</v>
      </c>
      <c r="D350" s="1">
        <v>2040</v>
      </c>
      <c r="E350" s="1">
        <v>63870</v>
      </c>
      <c r="F350" s="1">
        <v>63870</v>
      </c>
      <c r="G350" s="1" t="s">
        <v>23</v>
      </c>
      <c r="H350" s="1">
        <v>9.2307691999999997E-2</v>
      </c>
      <c r="I350" s="1">
        <v>0.123076923</v>
      </c>
      <c r="J350" s="1">
        <v>0.12615384599999999</v>
      </c>
      <c r="K350" s="1">
        <v>0.16615384599999999</v>
      </c>
      <c r="L350" s="1">
        <v>0.49230769200000002</v>
      </c>
      <c r="M350" s="1" t="s">
        <v>16</v>
      </c>
      <c r="N350" s="1" t="s">
        <v>17</v>
      </c>
    </row>
    <row r="351" spans="1:14" ht="15.75" customHeight="1">
      <c r="A351" s="1">
        <v>0.589333887</v>
      </c>
      <c r="B351" s="1">
        <v>1374</v>
      </c>
      <c r="C351" s="1">
        <v>31</v>
      </c>
      <c r="D351" s="1">
        <v>1468</v>
      </c>
      <c r="E351" s="1">
        <v>63678</v>
      </c>
      <c r="F351" s="1">
        <v>63678</v>
      </c>
      <c r="G351" s="1" t="s">
        <v>23</v>
      </c>
      <c r="H351" s="1">
        <v>8.9887640000000005E-2</v>
      </c>
      <c r="I351" s="1">
        <v>8.9887640000000005E-2</v>
      </c>
      <c r="J351" s="1">
        <v>7.8651684999999999E-2</v>
      </c>
      <c r="K351" s="1">
        <v>0.17977528100000001</v>
      </c>
      <c r="L351" s="1">
        <v>0.56179775300000001</v>
      </c>
      <c r="M351" s="1" t="s">
        <v>16</v>
      </c>
      <c r="N351" s="1" t="s">
        <v>17</v>
      </c>
    </row>
    <row r="352" spans="1:14" ht="15.75" customHeight="1">
      <c r="A352" s="1">
        <v>0.70573843400000003</v>
      </c>
      <c r="B352" s="1">
        <v>1238</v>
      </c>
      <c r="C352" s="1">
        <v>28</v>
      </c>
      <c r="D352" s="1">
        <v>3447</v>
      </c>
      <c r="E352" s="1">
        <v>44405</v>
      </c>
      <c r="F352" s="1">
        <v>44405</v>
      </c>
      <c r="G352" s="1" t="s">
        <v>23</v>
      </c>
      <c r="H352" s="1">
        <v>0.13343799100000001</v>
      </c>
      <c r="I352" s="1">
        <v>0.12401883800000001</v>
      </c>
      <c r="J352" s="1">
        <v>0.100470958</v>
      </c>
      <c r="K352" s="1">
        <v>0.15855573000000001</v>
      </c>
      <c r="L352" s="1">
        <v>0.48351648400000002</v>
      </c>
      <c r="M352" s="1" t="s">
        <v>16</v>
      </c>
      <c r="N352" s="1" t="s">
        <v>17</v>
      </c>
    </row>
    <row r="353" spans="1:14" ht="15.75" customHeight="1">
      <c r="A353" s="1">
        <v>0.229249012</v>
      </c>
      <c r="B353" s="1">
        <v>1388</v>
      </c>
      <c r="C353" s="1">
        <v>32</v>
      </c>
      <c r="D353" s="1">
        <v>2760</v>
      </c>
      <c r="E353" s="1">
        <v>65030</v>
      </c>
      <c r="F353" s="1">
        <v>65030</v>
      </c>
      <c r="G353" s="1" t="s">
        <v>23</v>
      </c>
      <c r="H353" s="1">
        <v>0.132867133</v>
      </c>
      <c r="I353" s="1">
        <v>8.0419580000000004E-2</v>
      </c>
      <c r="J353" s="1">
        <v>0.12237762200000001</v>
      </c>
      <c r="K353" s="1">
        <v>0.11888111899999999</v>
      </c>
      <c r="L353" s="1">
        <v>0.54545454500000001</v>
      </c>
      <c r="M353" s="1" t="s">
        <v>16</v>
      </c>
      <c r="N353" s="1" t="s">
        <v>17</v>
      </c>
    </row>
    <row r="354" spans="1:14" ht="15.75" customHeight="1">
      <c r="A354" s="1">
        <v>0.67804347799999998</v>
      </c>
      <c r="B354" s="1">
        <v>1207</v>
      </c>
      <c r="C354" s="1">
        <v>28</v>
      </c>
      <c r="D354" s="1">
        <v>2579</v>
      </c>
      <c r="E354" s="1">
        <v>39666</v>
      </c>
      <c r="F354" s="1">
        <v>39666</v>
      </c>
      <c r="G354" s="1" t="s">
        <v>23</v>
      </c>
      <c r="H354" s="1">
        <v>0.13857677900000001</v>
      </c>
      <c r="I354" s="1">
        <v>8.8014981000000006E-2</v>
      </c>
      <c r="J354" s="1">
        <v>0.12546816499999999</v>
      </c>
      <c r="K354" s="1">
        <v>0.16292134799999999</v>
      </c>
      <c r="L354" s="1">
        <v>0.48501872699999998</v>
      </c>
      <c r="M354" s="1" t="s">
        <v>16</v>
      </c>
      <c r="N354" s="1" t="s">
        <v>17</v>
      </c>
    </row>
    <row r="355" spans="1:14" ht="15.75" customHeight="1">
      <c r="A355" s="1">
        <v>0.79665384800000005</v>
      </c>
      <c r="B355" s="1">
        <v>1215</v>
      </c>
      <c r="C355" s="1">
        <v>27</v>
      </c>
      <c r="D355" s="1">
        <v>9742</v>
      </c>
      <c r="E355" s="1">
        <v>50110</v>
      </c>
      <c r="F355" s="1">
        <v>50110</v>
      </c>
      <c r="G355" s="1" t="s">
        <v>23</v>
      </c>
      <c r="H355" s="1">
        <v>0.29631606999999999</v>
      </c>
      <c r="I355" s="1">
        <v>0.16871329400000001</v>
      </c>
      <c r="J355" s="1">
        <v>0.18312867099999999</v>
      </c>
      <c r="K355" s="1">
        <v>0.123865456</v>
      </c>
      <c r="L355" s="1">
        <v>0.22797650799999999</v>
      </c>
      <c r="M355" s="1" t="s">
        <v>16</v>
      </c>
      <c r="N355" s="1" t="s">
        <v>17</v>
      </c>
    </row>
    <row r="356" spans="1:14" ht="15.75" customHeight="1">
      <c r="A356" s="1">
        <v>0.63005431499999998</v>
      </c>
      <c r="B356" s="1">
        <v>1365</v>
      </c>
      <c r="C356" s="1">
        <v>30</v>
      </c>
      <c r="D356" s="1">
        <v>4004</v>
      </c>
      <c r="E356" s="1">
        <v>21810</v>
      </c>
      <c r="F356" s="1">
        <v>21810</v>
      </c>
      <c r="G356" s="1" t="s">
        <v>23</v>
      </c>
      <c r="H356" s="1">
        <v>0.35467980300000002</v>
      </c>
      <c r="I356" s="1">
        <v>0.201970443</v>
      </c>
      <c r="J356" s="1">
        <v>0.16256157600000001</v>
      </c>
      <c r="K356" s="1">
        <v>7.8817734E-2</v>
      </c>
      <c r="L356" s="1">
        <v>0.201970443</v>
      </c>
      <c r="M356" s="1" t="s">
        <v>16</v>
      </c>
      <c r="N356" s="1" t="s">
        <v>17</v>
      </c>
    </row>
    <row r="357" spans="1:14" ht="15.75" customHeight="1">
      <c r="A357" s="1">
        <v>0.43786982200000002</v>
      </c>
      <c r="B357" s="1">
        <v>1410</v>
      </c>
      <c r="C357" s="1">
        <v>32</v>
      </c>
      <c r="D357" s="1">
        <v>2070</v>
      </c>
      <c r="E357" s="1">
        <v>66456</v>
      </c>
      <c r="F357" s="1">
        <v>66456</v>
      </c>
      <c r="G357" s="1" t="s">
        <v>23</v>
      </c>
      <c r="H357" s="1">
        <v>0.12121212100000001</v>
      </c>
      <c r="I357" s="1">
        <v>8.7542088000000004E-2</v>
      </c>
      <c r="J357" s="1">
        <v>9.7643097999999998E-2</v>
      </c>
      <c r="K357" s="1">
        <v>0.14814814800000001</v>
      </c>
      <c r="L357" s="1">
        <v>0.54545454500000001</v>
      </c>
      <c r="M357" s="1" t="s">
        <v>16</v>
      </c>
      <c r="N357" s="1" t="s">
        <v>17</v>
      </c>
    </row>
    <row r="358" spans="1:14" ht="15.75" customHeight="1">
      <c r="A358" s="1">
        <v>0.177274599</v>
      </c>
      <c r="B358" s="1">
        <v>1513</v>
      </c>
      <c r="C358" s="1">
        <v>34</v>
      </c>
      <c r="D358" s="1">
        <v>2430</v>
      </c>
      <c r="E358" s="1">
        <v>67805</v>
      </c>
      <c r="F358" s="1">
        <v>67805</v>
      </c>
      <c r="G358" s="1" t="s">
        <v>23</v>
      </c>
      <c r="H358" s="1">
        <v>0.15</v>
      </c>
      <c r="I358" s="1">
        <v>0.115</v>
      </c>
      <c r="J358" s="1">
        <v>0.12</v>
      </c>
      <c r="K358" s="1">
        <v>0.11749999999999999</v>
      </c>
      <c r="L358" s="1">
        <v>0.4975</v>
      </c>
      <c r="M358" s="1" t="s">
        <v>16</v>
      </c>
      <c r="N358" s="1" t="s">
        <v>17</v>
      </c>
    </row>
    <row r="359" spans="1:14" ht="15.75" customHeight="1">
      <c r="A359" s="1">
        <v>0.83462199299999995</v>
      </c>
      <c r="B359" s="1">
        <v>1234</v>
      </c>
      <c r="C359" s="1">
        <v>25</v>
      </c>
      <c r="D359" s="1">
        <v>1579</v>
      </c>
      <c r="E359" s="1">
        <v>52000</v>
      </c>
      <c r="F359" s="1">
        <v>52000</v>
      </c>
      <c r="G359" s="1" t="s">
        <v>23</v>
      </c>
      <c r="H359" s="1">
        <v>0.170542636</v>
      </c>
      <c r="I359" s="1">
        <v>0.108527132</v>
      </c>
      <c r="J359" s="1">
        <v>0.12790697700000001</v>
      </c>
      <c r="K359" s="1">
        <v>0.143410853</v>
      </c>
      <c r="L359" s="1">
        <v>0.44961240299999999</v>
      </c>
      <c r="M359" s="1" t="s">
        <v>16</v>
      </c>
      <c r="N359" s="1" t="s">
        <v>17</v>
      </c>
    </row>
    <row r="360" spans="1:14" ht="15.75" customHeight="1">
      <c r="A360" s="1">
        <v>0.90376850600000003</v>
      </c>
      <c r="B360" s="1">
        <v>1082</v>
      </c>
      <c r="C360" s="1">
        <v>21</v>
      </c>
      <c r="D360" s="1">
        <v>1454</v>
      </c>
      <c r="E360" s="1">
        <v>19500</v>
      </c>
      <c r="F360" s="1">
        <v>19500</v>
      </c>
      <c r="G360" s="1" t="s">
        <v>23</v>
      </c>
      <c r="H360" s="1">
        <v>0.135211268</v>
      </c>
      <c r="I360" s="1">
        <v>9.8591549000000001E-2</v>
      </c>
      <c r="J360" s="1">
        <v>0.12676056299999999</v>
      </c>
      <c r="K360" s="1">
        <v>0.20281690099999999</v>
      </c>
      <c r="L360" s="1">
        <v>0.43661971799999999</v>
      </c>
      <c r="M360" s="1" t="s">
        <v>16</v>
      </c>
      <c r="N360" s="1" t="s">
        <v>17</v>
      </c>
    </row>
    <row r="361" spans="1:14" ht="15.75" customHeight="1">
      <c r="A361" s="1">
        <v>0.39504260299999999</v>
      </c>
      <c r="B361" s="1">
        <v>1064</v>
      </c>
      <c r="C361" s="1">
        <v>20</v>
      </c>
      <c r="D361" s="1">
        <v>760</v>
      </c>
      <c r="E361" s="1">
        <v>31250</v>
      </c>
      <c r="F361" s="1">
        <v>31250</v>
      </c>
      <c r="G361" s="1" t="s">
        <v>23</v>
      </c>
      <c r="H361" s="1">
        <v>0.25</v>
      </c>
      <c r="I361" s="1">
        <v>0.15322580599999999</v>
      </c>
      <c r="J361" s="1">
        <v>0.137096774</v>
      </c>
      <c r="K361" s="1">
        <v>0.177419355</v>
      </c>
      <c r="L361" s="1">
        <v>0.282258065</v>
      </c>
      <c r="M361" s="1" t="s">
        <v>16</v>
      </c>
      <c r="N361" s="1" t="s">
        <v>17</v>
      </c>
    </row>
    <row r="362" spans="1:14" ht="15.75" customHeight="1">
      <c r="A362" s="1">
        <v>0.49206349199999999</v>
      </c>
      <c r="B362" s="1">
        <v>1020</v>
      </c>
      <c r="C362" s="1">
        <v>19</v>
      </c>
      <c r="D362" s="1">
        <v>602</v>
      </c>
      <c r="E362" s="1">
        <v>16070</v>
      </c>
      <c r="F362" s="1">
        <v>16070</v>
      </c>
      <c r="G362" s="1" t="s">
        <v>23</v>
      </c>
      <c r="H362" s="1">
        <v>0.111111111</v>
      </c>
      <c r="I362" s="1">
        <v>0.33333333300000001</v>
      </c>
      <c r="J362" s="1">
        <v>0.111111111</v>
      </c>
      <c r="K362" s="1">
        <v>0.111111111</v>
      </c>
      <c r="L362" s="1">
        <v>0.33333333300000001</v>
      </c>
      <c r="M362" s="1" t="s">
        <v>16</v>
      </c>
      <c r="N362" s="1" t="s">
        <v>17</v>
      </c>
    </row>
    <row r="363" spans="1:14" ht="15.75" customHeight="1">
      <c r="A363" s="1">
        <v>0.77699253999999995</v>
      </c>
      <c r="B363" s="1">
        <v>1136</v>
      </c>
      <c r="C363" s="1">
        <v>23</v>
      </c>
      <c r="D363" s="1">
        <v>1127</v>
      </c>
      <c r="E363" s="1">
        <v>33400</v>
      </c>
      <c r="F363" s="1">
        <v>33400</v>
      </c>
      <c r="G363" s="1" t="s">
        <v>23</v>
      </c>
      <c r="H363" s="1">
        <v>0.28292682899999999</v>
      </c>
      <c r="I363" s="1">
        <v>0.17073170700000001</v>
      </c>
      <c r="J363" s="1">
        <v>0.180487805</v>
      </c>
      <c r="K363" s="1">
        <v>0.107317073</v>
      </c>
      <c r="L363" s="1">
        <v>0.25853658499999999</v>
      </c>
      <c r="M363" s="1" t="s">
        <v>16</v>
      </c>
      <c r="N363" s="1" t="s">
        <v>17</v>
      </c>
    </row>
    <row r="364" spans="1:14" ht="15.75" customHeight="1">
      <c r="A364" s="1">
        <v>0.144821015</v>
      </c>
      <c r="B364" s="1">
        <v>1448</v>
      </c>
      <c r="C364" s="1">
        <v>32</v>
      </c>
      <c r="D364" s="1">
        <v>1901</v>
      </c>
      <c r="E364" s="1">
        <v>60300</v>
      </c>
      <c r="F364" s="1">
        <v>60300</v>
      </c>
      <c r="G364" s="1" t="s">
        <v>23</v>
      </c>
      <c r="H364" s="1">
        <v>0.27272727299999999</v>
      </c>
      <c r="I364" s="1">
        <v>0.149350649</v>
      </c>
      <c r="J364" s="1">
        <v>0.18181818199999999</v>
      </c>
      <c r="K364" s="1">
        <v>0.103896104</v>
      </c>
      <c r="L364" s="1">
        <v>0.29220779200000002</v>
      </c>
      <c r="M364" s="1" t="s">
        <v>16</v>
      </c>
      <c r="N364" s="1" t="s">
        <v>17</v>
      </c>
    </row>
    <row r="365" spans="1:14" ht="15.75" customHeight="1">
      <c r="A365" s="1">
        <v>0.67314139699999997</v>
      </c>
      <c r="B365" s="1">
        <v>1222</v>
      </c>
      <c r="C365" s="1">
        <v>26</v>
      </c>
      <c r="D365" s="1">
        <v>6402</v>
      </c>
      <c r="E365" s="1">
        <v>44536</v>
      </c>
      <c r="F365" s="1">
        <v>44536</v>
      </c>
      <c r="G365" s="1" t="s">
        <v>23</v>
      </c>
      <c r="H365" s="1">
        <v>9.8187310999999999E-2</v>
      </c>
      <c r="I365" s="1">
        <v>6.3444108999999999E-2</v>
      </c>
      <c r="J365" s="1">
        <v>0.126888218</v>
      </c>
      <c r="K365" s="1">
        <v>0.14803625400000001</v>
      </c>
      <c r="L365" s="1">
        <v>0.56344410899999997</v>
      </c>
      <c r="M365" s="1" t="s">
        <v>16</v>
      </c>
      <c r="N365" s="1" t="s">
        <v>17</v>
      </c>
    </row>
    <row r="366" spans="1:14" ht="15.75" customHeight="1">
      <c r="A366" s="1">
        <v>0.87023554599999997</v>
      </c>
      <c r="B366" s="1">
        <v>1146</v>
      </c>
      <c r="C366" s="1">
        <v>23</v>
      </c>
      <c r="D366" s="1">
        <v>1836</v>
      </c>
      <c r="E366" s="1">
        <v>33450</v>
      </c>
      <c r="F366" s="1">
        <v>33450</v>
      </c>
      <c r="G366" s="1" t="s">
        <v>23</v>
      </c>
      <c r="H366" s="1">
        <v>0.18970189700000001</v>
      </c>
      <c r="I366" s="1">
        <v>0.140921409</v>
      </c>
      <c r="J366" s="1">
        <v>0.13008130100000001</v>
      </c>
      <c r="K366" s="1">
        <v>0.14905149100000001</v>
      </c>
      <c r="L366" s="1">
        <v>0.39024390199999998</v>
      </c>
      <c r="M366" s="1" t="s">
        <v>16</v>
      </c>
      <c r="N366" s="1" t="s">
        <v>17</v>
      </c>
    </row>
    <row r="367" spans="1:14" ht="15.75" customHeight="1">
      <c r="A367" s="1">
        <v>0.83761589400000003</v>
      </c>
      <c r="B367" s="1">
        <v>1120</v>
      </c>
      <c r="C367" s="1">
        <v>22</v>
      </c>
      <c r="D367" s="1">
        <v>1011</v>
      </c>
      <c r="E367" s="1">
        <v>41140</v>
      </c>
      <c r="F367" s="1">
        <v>41140</v>
      </c>
      <c r="G367" s="1" t="s">
        <v>23</v>
      </c>
      <c r="H367" s="1">
        <v>0.91118421100000002</v>
      </c>
      <c r="I367" s="1">
        <v>3.9473684000000002E-2</v>
      </c>
      <c r="J367" s="1">
        <v>3.6184211000000001E-2</v>
      </c>
      <c r="K367" s="1">
        <v>6.5789469999999999E-3</v>
      </c>
      <c r="L367" s="1">
        <v>6.5789469999999999E-3</v>
      </c>
      <c r="M367" s="1" t="s">
        <v>16</v>
      </c>
      <c r="N367" s="1" t="s">
        <v>17</v>
      </c>
    </row>
    <row r="368" spans="1:14" ht="15.75" customHeight="1">
      <c r="A368" s="1">
        <v>0.76825600000000005</v>
      </c>
      <c r="B368" s="1">
        <v>1242</v>
      </c>
      <c r="C368" s="1">
        <v>27</v>
      </c>
      <c r="D368" s="1">
        <v>4970</v>
      </c>
      <c r="E368" s="1">
        <v>44208</v>
      </c>
      <c r="F368" s="1">
        <v>44208</v>
      </c>
      <c r="G368" s="1" t="s">
        <v>23</v>
      </c>
      <c r="H368" s="1">
        <v>9.7637794999999999E-2</v>
      </c>
      <c r="I368" s="1">
        <v>8.1889764000000004E-2</v>
      </c>
      <c r="J368" s="1">
        <v>9.9212597999999999E-2</v>
      </c>
      <c r="K368" s="1">
        <v>0.11496062999999999</v>
      </c>
      <c r="L368" s="1">
        <v>0.606299213</v>
      </c>
      <c r="M368" s="1" t="s">
        <v>16</v>
      </c>
      <c r="N368" s="1" t="s">
        <v>17</v>
      </c>
    </row>
    <row r="369" spans="1:14" ht="15.75" customHeight="1">
      <c r="A369" s="1">
        <v>0.74664107499999999</v>
      </c>
      <c r="B369" s="1">
        <v>1224</v>
      </c>
      <c r="C369" s="1">
        <v>26</v>
      </c>
      <c r="D369" s="1">
        <v>1288</v>
      </c>
      <c r="E369" s="1">
        <v>43936</v>
      </c>
      <c r="F369" s="1">
        <v>43936</v>
      </c>
      <c r="G369" s="1" t="s">
        <v>23</v>
      </c>
      <c r="H369" s="1">
        <v>0.211206897</v>
      </c>
      <c r="I369" s="1">
        <v>0.163793103</v>
      </c>
      <c r="J369" s="1">
        <v>0.181034483</v>
      </c>
      <c r="K369" s="1">
        <v>0.181034483</v>
      </c>
      <c r="L369" s="1">
        <v>0.26293103400000001</v>
      </c>
      <c r="M369" s="1" t="s">
        <v>16</v>
      </c>
      <c r="N369" s="1" t="s">
        <v>17</v>
      </c>
    </row>
    <row r="370" spans="1:14" ht="15.75" customHeight="1">
      <c r="A370" s="1">
        <v>0.752008766</v>
      </c>
      <c r="B370" s="1">
        <v>1201</v>
      </c>
      <c r="C370" s="1">
        <v>25</v>
      </c>
      <c r="D370" s="1">
        <v>1425</v>
      </c>
      <c r="E370" s="1">
        <v>39664</v>
      </c>
      <c r="F370" s="1">
        <v>39664</v>
      </c>
      <c r="G370" s="1" t="s">
        <v>23</v>
      </c>
      <c r="H370" s="1">
        <v>0.22440944900000001</v>
      </c>
      <c r="I370" s="1">
        <v>0.18503937000000001</v>
      </c>
      <c r="J370" s="1">
        <v>0.16929133900000001</v>
      </c>
      <c r="K370" s="1">
        <v>0.11023622</v>
      </c>
      <c r="L370" s="1">
        <v>0.311023622</v>
      </c>
      <c r="M370" s="1" t="s">
        <v>16</v>
      </c>
      <c r="N370" s="1" t="s">
        <v>17</v>
      </c>
    </row>
    <row r="371" spans="1:14" ht="15.75" customHeight="1">
      <c r="A371" s="1">
        <v>0.77745995400000001</v>
      </c>
      <c r="B371" s="1">
        <v>1020</v>
      </c>
      <c r="C371" s="1">
        <v>19</v>
      </c>
      <c r="D371" s="1">
        <v>1754</v>
      </c>
      <c r="E371" s="1">
        <v>25950</v>
      </c>
      <c r="F371" s="1">
        <v>25950</v>
      </c>
      <c r="G371" s="1" t="s">
        <v>23</v>
      </c>
      <c r="H371" s="1">
        <v>0.19291338599999999</v>
      </c>
      <c r="I371" s="1">
        <v>0.114173228</v>
      </c>
      <c r="J371" s="1">
        <v>0.13779527599999999</v>
      </c>
      <c r="K371" s="1">
        <v>0.133858268</v>
      </c>
      <c r="L371" s="1">
        <v>0.42125984300000002</v>
      </c>
      <c r="M371" s="1" t="s">
        <v>16</v>
      </c>
      <c r="N371" s="1" t="s">
        <v>17</v>
      </c>
    </row>
    <row r="372" spans="1:14" ht="15.75" customHeight="1">
      <c r="A372" s="1">
        <v>0.97356143100000003</v>
      </c>
      <c r="B372" s="1">
        <v>1198</v>
      </c>
      <c r="C372" s="1">
        <v>24</v>
      </c>
      <c r="D372" s="1">
        <v>661</v>
      </c>
      <c r="E372" s="1">
        <v>33150</v>
      </c>
      <c r="F372" s="1">
        <v>33150</v>
      </c>
      <c r="G372" s="1" t="s">
        <v>23</v>
      </c>
      <c r="H372" s="1">
        <v>0.24731182800000001</v>
      </c>
      <c r="I372" s="1">
        <v>0.24731182800000001</v>
      </c>
      <c r="J372" s="1">
        <v>0.22580645199999999</v>
      </c>
      <c r="K372" s="1">
        <v>0.12903225800000001</v>
      </c>
      <c r="L372" s="1">
        <v>0.150537634</v>
      </c>
      <c r="M372" s="1" t="s">
        <v>16</v>
      </c>
      <c r="N372" s="1" t="s">
        <v>17</v>
      </c>
    </row>
    <row r="373" spans="1:14" ht="15.75" customHeight="1">
      <c r="A373" s="1">
        <v>0.67684186400000002</v>
      </c>
      <c r="B373" s="1">
        <v>1223</v>
      </c>
      <c r="C373" s="1">
        <v>26</v>
      </c>
      <c r="D373" s="1">
        <v>1362</v>
      </c>
      <c r="E373" s="1">
        <v>43285</v>
      </c>
      <c r="F373" s="1">
        <v>43285</v>
      </c>
      <c r="G373" s="1" t="s">
        <v>23</v>
      </c>
      <c r="H373" s="1">
        <v>0.11637931</v>
      </c>
      <c r="I373" s="1">
        <v>9.9137930999999999E-2</v>
      </c>
      <c r="J373" s="1">
        <v>9.9137930999999999E-2</v>
      </c>
      <c r="K373" s="1">
        <v>0.125</v>
      </c>
      <c r="L373" s="1">
        <v>0.56034482799999996</v>
      </c>
      <c r="M373" s="1" t="s">
        <v>16</v>
      </c>
      <c r="N373" s="1" t="s">
        <v>17</v>
      </c>
    </row>
    <row r="374" spans="1:14" ht="15.75" customHeight="1">
      <c r="A374" s="1">
        <v>0.87032291100000003</v>
      </c>
      <c r="B374" s="1">
        <v>1168</v>
      </c>
      <c r="C374" s="1">
        <v>22</v>
      </c>
      <c r="D374" s="1">
        <v>390</v>
      </c>
      <c r="E374" s="1">
        <v>32236</v>
      </c>
      <c r="F374" s="1">
        <v>32236</v>
      </c>
      <c r="G374" s="1" t="s">
        <v>23</v>
      </c>
      <c r="H374" s="1">
        <v>0.32894736800000002</v>
      </c>
      <c r="I374" s="1">
        <v>0.19736842099999999</v>
      </c>
      <c r="J374" s="1">
        <v>0.15789473700000001</v>
      </c>
      <c r="K374" s="1">
        <v>0.15789473700000001</v>
      </c>
      <c r="L374" s="1">
        <v>0.15789473700000001</v>
      </c>
      <c r="M374" s="1" t="s">
        <v>16</v>
      </c>
      <c r="N374" s="1" t="s">
        <v>17</v>
      </c>
    </row>
    <row r="375" spans="1:14" ht="15.75" customHeight="1">
      <c r="A375" s="1">
        <v>0.76612903200000004</v>
      </c>
      <c r="B375" s="1">
        <v>1090</v>
      </c>
      <c r="C375" s="1">
        <v>21</v>
      </c>
      <c r="D375" s="1">
        <v>466</v>
      </c>
      <c r="E375" s="1">
        <v>10646</v>
      </c>
      <c r="F375" s="1">
        <v>10646</v>
      </c>
      <c r="G375" s="1" t="s">
        <v>23</v>
      </c>
      <c r="H375" s="1">
        <v>0.5</v>
      </c>
      <c r="I375" s="1">
        <v>0.5</v>
      </c>
      <c r="J375" s="1">
        <v>0</v>
      </c>
      <c r="K375" s="1">
        <v>0</v>
      </c>
      <c r="L375" s="1">
        <v>0</v>
      </c>
      <c r="M375" s="1" t="s">
        <v>16</v>
      </c>
      <c r="N375" s="1" t="s">
        <v>17</v>
      </c>
    </row>
    <row r="376" spans="1:14" ht="15.75" customHeight="1">
      <c r="A376" s="1">
        <v>0.77624602300000001</v>
      </c>
      <c r="B376" s="1">
        <v>1290</v>
      </c>
      <c r="C376" s="1">
        <v>27</v>
      </c>
      <c r="D376" s="1">
        <v>720</v>
      </c>
      <c r="E376" s="1">
        <v>40290</v>
      </c>
      <c r="F376" s="1">
        <v>40290</v>
      </c>
      <c r="G376" s="1" t="s">
        <v>23</v>
      </c>
      <c r="H376" s="1">
        <v>0.224</v>
      </c>
      <c r="I376" s="1">
        <v>0.16800000000000001</v>
      </c>
      <c r="J376" s="1">
        <v>0.14399999999999999</v>
      </c>
      <c r="K376" s="1">
        <v>0.128</v>
      </c>
      <c r="L376" s="1">
        <v>0.33600000000000002</v>
      </c>
      <c r="M376" s="1" t="s">
        <v>16</v>
      </c>
      <c r="N376" s="1" t="s">
        <v>17</v>
      </c>
    </row>
    <row r="377" spans="1:14" ht="15.75" customHeight="1">
      <c r="A377" s="1">
        <v>0.84992927900000004</v>
      </c>
      <c r="B377" s="1">
        <v>1083</v>
      </c>
      <c r="C377" s="1">
        <v>21</v>
      </c>
      <c r="D377" s="1">
        <v>2462</v>
      </c>
      <c r="E377" s="1">
        <v>40196</v>
      </c>
      <c r="F377" s="1">
        <v>40196</v>
      </c>
      <c r="G377" s="1" t="s">
        <v>23</v>
      </c>
      <c r="H377" s="1">
        <v>0.29094076699999999</v>
      </c>
      <c r="I377" s="1">
        <v>0.17595818799999999</v>
      </c>
      <c r="J377" s="1">
        <v>0.174216028</v>
      </c>
      <c r="K377" s="1">
        <v>0.13240418100000001</v>
      </c>
      <c r="L377" s="1">
        <v>0.22648083599999999</v>
      </c>
      <c r="M377" s="1" t="s">
        <v>16</v>
      </c>
      <c r="N377" s="1" t="s">
        <v>17</v>
      </c>
    </row>
    <row r="378" spans="1:14" ht="15.75" customHeight="1">
      <c r="A378" s="1">
        <v>0.36216216200000001</v>
      </c>
      <c r="B378" s="1">
        <v>1120</v>
      </c>
      <c r="C378" s="1">
        <v>22</v>
      </c>
      <c r="D378" s="1">
        <v>138</v>
      </c>
      <c r="E378" s="1">
        <v>18762</v>
      </c>
      <c r="F378" s="1">
        <v>18762</v>
      </c>
      <c r="G378" s="1" t="s">
        <v>23</v>
      </c>
      <c r="H378" s="1">
        <v>0.36363636399999999</v>
      </c>
      <c r="I378" s="1">
        <v>0.18181818199999999</v>
      </c>
      <c r="J378" s="1">
        <v>0.13636363600000001</v>
      </c>
      <c r="K378" s="1">
        <v>0.22727272700000001</v>
      </c>
      <c r="L378" s="1">
        <v>9.0909090999999997E-2</v>
      </c>
      <c r="M378" s="1" t="s">
        <v>16</v>
      </c>
      <c r="N378" s="1" t="s">
        <v>17</v>
      </c>
    </row>
    <row r="379" spans="1:14" ht="15.75" customHeight="1">
      <c r="A379" s="1">
        <v>0.80567024499999995</v>
      </c>
      <c r="B379" s="1">
        <v>1119</v>
      </c>
      <c r="C379" s="1">
        <v>22</v>
      </c>
      <c r="D379" s="1">
        <v>2250</v>
      </c>
      <c r="E379" s="1">
        <v>28910</v>
      </c>
      <c r="F379" s="1">
        <v>28910</v>
      </c>
      <c r="G379" s="1" t="s">
        <v>23</v>
      </c>
      <c r="H379" s="1">
        <v>0.17692307700000001</v>
      </c>
      <c r="I379" s="1">
        <v>0.115384615</v>
      </c>
      <c r="J379" s="1">
        <v>0.16153846199999999</v>
      </c>
      <c r="K379" s="1">
        <v>0.18974358999999999</v>
      </c>
      <c r="L379" s="1">
        <v>0.35641025599999998</v>
      </c>
      <c r="M379" s="1" t="s">
        <v>16</v>
      </c>
      <c r="N379" s="1" t="s">
        <v>17</v>
      </c>
    </row>
    <row r="380" spans="1:14" ht="15.75" customHeight="1">
      <c r="A380" s="1">
        <v>0.41269841299999999</v>
      </c>
      <c r="B380" s="1">
        <v>1020</v>
      </c>
      <c r="C380" s="1">
        <v>19</v>
      </c>
      <c r="D380" s="1">
        <v>232</v>
      </c>
      <c r="E380" s="1">
        <v>19854</v>
      </c>
      <c r="F380" s="1">
        <v>19854</v>
      </c>
      <c r="G380" s="1" t="s">
        <v>23</v>
      </c>
      <c r="H380" s="1">
        <v>0.20588235299999999</v>
      </c>
      <c r="I380" s="1">
        <v>0.264705882</v>
      </c>
      <c r="J380" s="1">
        <v>0.147058824</v>
      </c>
      <c r="K380" s="1">
        <v>0.20588235299999999</v>
      </c>
      <c r="L380" s="1">
        <v>0.17647058800000001</v>
      </c>
      <c r="M380" s="1" t="s">
        <v>16</v>
      </c>
      <c r="N380" s="1" t="s">
        <v>17</v>
      </c>
    </row>
    <row r="381" spans="1:14" ht="15.75" customHeight="1">
      <c r="A381" s="1">
        <v>0.76847627699999999</v>
      </c>
      <c r="B381" s="1">
        <v>1176</v>
      </c>
      <c r="C381" s="1">
        <v>24</v>
      </c>
      <c r="D381" s="1">
        <v>2775</v>
      </c>
      <c r="E381" s="1">
        <v>37938</v>
      </c>
      <c r="F381" s="1">
        <v>37938</v>
      </c>
      <c r="G381" s="1" t="s">
        <v>23</v>
      </c>
      <c r="H381" s="1">
        <v>0.11404958699999999</v>
      </c>
      <c r="I381" s="1">
        <v>7.9338843000000006E-2</v>
      </c>
      <c r="J381" s="1">
        <v>0.11404958699999999</v>
      </c>
      <c r="K381" s="1">
        <v>0.17024793399999999</v>
      </c>
      <c r="L381" s="1">
        <v>0.52231404999999997</v>
      </c>
      <c r="M381" s="1" t="s">
        <v>16</v>
      </c>
      <c r="N381" s="1" t="s">
        <v>17</v>
      </c>
    </row>
    <row r="382" spans="1:14" ht="15.75" customHeight="1">
      <c r="A382" s="1">
        <v>0.61155586500000003</v>
      </c>
      <c r="B382" s="1">
        <v>1020</v>
      </c>
      <c r="C382" s="1">
        <v>19</v>
      </c>
      <c r="D382" s="1">
        <v>595</v>
      </c>
      <c r="E382" s="1">
        <v>36298</v>
      </c>
      <c r="F382" s="1">
        <v>36298</v>
      </c>
      <c r="G382" s="1" t="s">
        <v>23</v>
      </c>
      <c r="H382" s="1">
        <v>0.276595745</v>
      </c>
      <c r="I382" s="1">
        <v>0.127659574</v>
      </c>
      <c r="J382" s="1">
        <v>0.16312056699999999</v>
      </c>
      <c r="K382" s="1">
        <v>0.19858155999999999</v>
      </c>
      <c r="L382" s="1">
        <v>0.23404255299999999</v>
      </c>
      <c r="M382" s="1" t="s">
        <v>16</v>
      </c>
      <c r="N382" s="1" t="s">
        <v>17</v>
      </c>
    </row>
    <row r="383" spans="1:14" ht="15.75" customHeight="1">
      <c r="A383" s="1">
        <v>0.73172966800000006</v>
      </c>
      <c r="B383" s="1">
        <v>1118</v>
      </c>
      <c r="C383" s="1">
        <v>22</v>
      </c>
      <c r="D383" s="1">
        <v>1709</v>
      </c>
      <c r="E383" s="1">
        <v>41788</v>
      </c>
      <c r="F383" s="1">
        <v>41788</v>
      </c>
      <c r="G383" s="1" t="s">
        <v>23</v>
      </c>
      <c r="H383" s="1">
        <v>0.18764302099999999</v>
      </c>
      <c r="I383" s="1">
        <v>0.14416476</v>
      </c>
      <c r="J383" s="1">
        <v>0.16018306600000001</v>
      </c>
      <c r="K383" s="1">
        <v>0.20823798600000001</v>
      </c>
      <c r="L383" s="1">
        <v>0.29977116700000001</v>
      </c>
      <c r="M383" s="1" t="s">
        <v>16</v>
      </c>
      <c r="N383" s="1" t="s">
        <v>17</v>
      </c>
    </row>
    <row r="384" spans="1:14" ht="15.75" customHeight="1">
      <c r="A384" s="1">
        <v>0.62820512799999995</v>
      </c>
      <c r="B384" s="1">
        <v>1246</v>
      </c>
      <c r="C384" s="1">
        <v>26</v>
      </c>
      <c r="D384" s="1">
        <v>3815</v>
      </c>
      <c r="E384" s="1">
        <v>36078</v>
      </c>
      <c r="F384" s="1">
        <v>36078</v>
      </c>
      <c r="G384" s="1" t="s">
        <v>23</v>
      </c>
      <c r="H384" s="1">
        <v>6.1594203E-2</v>
      </c>
      <c r="I384" s="1">
        <v>9.2391303999999994E-2</v>
      </c>
      <c r="J384" s="1">
        <v>0.15942028999999999</v>
      </c>
      <c r="K384" s="1">
        <v>0.21195652200000001</v>
      </c>
      <c r="L384" s="1">
        <v>0.47463768099999998</v>
      </c>
      <c r="M384" s="1" t="s">
        <v>16</v>
      </c>
      <c r="N384" s="1" t="s">
        <v>17</v>
      </c>
    </row>
    <row r="385" spans="1:14" ht="15.75" customHeight="1">
      <c r="A385" s="1">
        <v>0.50177935900000004</v>
      </c>
      <c r="B385" s="1">
        <v>972</v>
      </c>
      <c r="C385" s="1">
        <v>18</v>
      </c>
      <c r="D385" s="1">
        <v>762</v>
      </c>
      <c r="E385" s="1">
        <v>16394</v>
      </c>
      <c r="F385" s="1">
        <v>16394</v>
      </c>
      <c r="G385" s="1" t="s">
        <v>23</v>
      </c>
      <c r="H385" s="1">
        <v>0.34117647099999998</v>
      </c>
      <c r="I385" s="1">
        <v>0.105882353</v>
      </c>
      <c r="J385" s="1">
        <v>0.188235294</v>
      </c>
      <c r="K385" s="1">
        <v>0.117647059</v>
      </c>
      <c r="L385" s="1">
        <v>0.24705882400000001</v>
      </c>
      <c r="M385" s="1" t="s">
        <v>16</v>
      </c>
      <c r="N385" s="1" t="s">
        <v>17</v>
      </c>
    </row>
    <row r="386" spans="1:14" ht="15.75" customHeight="1">
      <c r="A386" s="1">
        <v>0.399018806</v>
      </c>
      <c r="B386" s="1">
        <v>910</v>
      </c>
      <c r="C386" s="1">
        <v>16</v>
      </c>
      <c r="D386" s="1">
        <v>816</v>
      </c>
      <c r="E386" s="1">
        <v>23700</v>
      </c>
      <c r="F386" s="1">
        <v>23700</v>
      </c>
      <c r="G386" s="1" t="s">
        <v>23</v>
      </c>
      <c r="H386" s="1">
        <v>0.243902439</v>
      </c>
      <c r="I386" s="1">
        <v>8.5365854000000005E-2</v>
      </c>
      <c r="J386" s="1">
        <v>0.18292682900000001</v>
      </c>
      <c r="K386" s="1">
        <v>0.21951219499999999</v>
      </c>
      <c r="L386" s="1">
        <v>0.26829268299999998</v>
      </c>
      <c r="M386" s="1" t="s">
        <v>16</v>
      </c>
      <c r="N386" s="1" t="s">
        <v>17</v>
      </c>
    </row>
    <row r="387" spans="1:14" ht="15.75" customHeight="1">
      <c r="A387" s="1">
        <v>0.56282450699999997</v>
      </c>
      <c r="B387" s="1">
        <v>1156</v>
      </c>
      <c r="C387" s="1">
        <v>23</v>
      </c>
      <c r="D387" s="1">
        <v>560</v>
      </c>
      <c r="E387" s="1">
        <v>47880</v>
      </c>
      <c r="F387" s="1">
        <v>47880</v>
      </c>
      <c r="G387" s="1" t="s">
        <v>23</v>
      </c>
      <c r="H387" s="1">
        <v>0.11038961</v>
      </c>
      <c r="I387" s="1">
        <v>0.123376623</v>
      </c>
      <c r="J387" s="1">
        <v>0.17532467500000001</v>
      </c>
      <c r="K387" s="1">
        <v>0.12987013</v>
      </c>
      <c r="L387" s="1">
        <v>0.46103896100000002</v>
      </c>
      <c r="M387" s="1" t="s">
        <v>16</v>
      </c>
      <c r="N387" s="1" t="s">
        <v>17</v>
      </c>
    </row>
    <row r="388" spans="1:14" ht="15.75" customHeight="1">
      <c r="A388" s="1">
        <v>0.61647689800000005</v>
      </c>
      <c r="B388" s="1">
        <v>1313</v>
      </c>
      <c r="C388" s="1">
        <v>28</v>
      </c>
      <c r="D388" s="1">
        <v>8099</v>
      </c>
      <c r="E388" s="1">
        <v>47600</v>
      </c>
      <c r="F388" s="1">
        <v>47600</v>
      </c>
      <c r="G388" s="1" t="s">
        <v>23</v>
      </c>
      <c r="H388" s="1">
        <v>0.131487889</v>
      </c>
      <c r="I388" s="1">
        <v>7.8719723000000005E-2</v>
      </c>
      <c r="J388" s="1">
        <v>0.111591696</v>
      </c>
      <c r="K388" s="1">
        <v>0.15397923899999999</v>
      </c>
      <c r="L388" s="1">
        <v>0.524221453</v>
      </c>
      <c r="M388" s="1" t="s">
        <v>16</v>
      </c>
      <c r="N388" s="1" t="s">
        <v>17</v>
      </c>
    </row>
    <row r="389" spans="1:14" ht="15.75" customHeight="1">
      <c r="A389" s="1">
        <v>0.16927297699999999</v>
      </c>
      <c r="B389" s="1">
        <v>1395</v>
      </c>
      <c r="C389" s="1">
        <v>31</v>
      </c>
      <c r="D389" s="1">
        <v>2398</v>
      </c>
      <c r="E389" s="1">
        <v>64000</v>
      </c>
      <c r="F389" s="1">
        <v>64000</v>
      </c>
      <c r="G389" s="1" t="s">
        <v>23</v>
      </c>
      <c r="H389" s="1">
        <v>9.8850574999999996E-2</v>
      </c>
      <c r="I389" s="1">
        <v>5.7471264000000001E-2</v>
      </c>
      <c r="J389" s="1">
        <v>6.8965517000000004E-2</v>
      </c>
      <c r="K389" s="1">
        <v>7.1264367999999995E-2</v>
      </c>
      <c r="L389" s="1">
        <v>0.70344827600000004</v>
      </c>
      <c r="M389" s="1" t="s">
        <v>16</v>
      </c>
      <c r="N389" s="1" t="s">
        <v>17</v>
      </c>
    </row>
    <row r="390" spans="1:14" ht="15.75" customHeight="1">
      <c r="A390" s="1">
        <v>0.81099575300000004</v>
      </c>
      <c r="B390" s="1">
        <v>1295</v>
      </c>
      <c r="C390" s="1">
        <v>28</v>
      </c>
      <c r="D390" s="1">
        <v>2228</v>
      </c>
      <c r="E390" s="1">
        <v>49100</v>
      </c>
      <c r="F390" s="1">
        <v>49100</v>
      </c>
      <c r="G390" s="1" t="s">
        <v>23</v>
      </c>
      <c r="H390" s="1">
        <v>0.111959288</v>
      </c>
      <c r="I390" s="1">
        <v>9.4147583000000007E-2</v>
      </c>
      <c r="J390" s="1">
        <v>0.106870229</v>
      </c>
      <c r="K390" s="1">
        <v>0.22137404599999999</v>
      </c>
      <c r="L390" s="1">
        <v>0.46564885499999997</v>
      </c>
      <c r="M390" s="1" t="s">
        <v>16</v>
      </c>
      <c r="N390" s="1" t="s">
        <v>17</v>
      </c>
    </row>
    <row r="391" spans="1:14" ht="15.75" customHeight="1">
      <c r="A391" s="1">
        <v>0.30713068900000001</v>
      </c>
      <c r="B391" s="1">
        <v>1440</v>
      </c>
      <c r="C391" s="1">
        <v>32</v>
      </c>
      <c r="D391" s="1">
        <v>1753</v>
      </c>
      <c r="E391" s="1">
        <v>69330</v>
      </c>
      <c r="F391" s="1">
        <v>69330</v>
      </c>
      <c r="G391" s="1" t="s">
        <v>23</v>
      </c>
      <c r="H391" s="1">
        <v>0.156862745</v>
      </c>
      <c r="I391" s="1">
        <v>9.1503267999999999E-2</v>
      </c>
      <c r="J391" s="1">
        <v>0.14379085</v>
      </c>
      <c r="K391" s="1">
        <v>0.111111111</v>
      </c>
      <c r="L391" s="1">
        <v>0.49673202599999999</v>
      </c>
      <c r="M391" s="1" t="s">
        <v>16</v>
      </c>
      <c r="N391" s="1" t="s">
        <v>17</v>
      </c>
    </row>
    <row r="392" spans="1:14" ht="15.75" customHeight="1">
      <c r="A392" s="1">
        <v>0.82857142900000003</v>
      </c>
      <c r="B392" s="1">
        <v>1120</v>
      </c>
      <c r="C392" s="1">
        <v>22</v>
      </c>
      <c r="D392" s="1">
        <v>543</v>
      </c>
      <c r="E392" s="1">
        <v>15672</v>
      </c>
      <c r="F392" s="1">
        <v>15672</v>
      </c>
      <c r="G392" s="1" t="s">
        <v>23</v>
      </c>
      <c r="H392" s="1">
        <v>0.16129032300000001</v>
      </c>
      <c r="I392" s="1">
        <v>0.16129032300000001</v>
      </c>
      <c r="J392" s="1">
        <v>0.25806451600000002</v>
      </c>
      <c r="K392" s="1">
        <v>0.22580645199999999</v>
      </c>
      <c r="L392" s="1">
        <v>0.19354838699999999</v>
      </c>
      <c r="M392" s="1" t="s">
        <v>16</v>
      </c>
      <c r="N392" s="1" t="s">
        <v>17</v>
      </c>
    </row>
    <row r="393" spans="1:14" ht="15.75" customHeight="1">
      <c r="A393" s="1">
        <v>0.64124057000000001</v>
      </c>
      <c r="B393" s="1">
        <v>1114</v>
      </c>
      <c r="C393" s="1">
        <v>22</v>
      </c>
      <c r="D393" s="1">
        <v>678</v>
      </c>
      <c r="E393" s="1">
        <v>36032</v>
      </c>
      <c r="F393" s="1">
        <v>36032</v>
      </c>
      <c r="G393" s="1" t="s">
        <v>23</v>
      </c>
      <c r="H393" s="1">
        <v>0.26589595399999999</v>
      </c>
      <c r="I393" s="1">
        <v>9.2485549E-2</v>
      </c>
      <c r="J393" s="1">
        <v>0.167630058</v>
      </c>
      <c r="K393" s="1">
        <v>0.167630058</v>
      </c>
      <c r="L393" s="1">
        <v>0.30635838199999998</v>
      </c>
      <c r="M393" s="1" t="s">
        <v>16</v>
      </c>
      <c r="N393" s="1" t="s">
        <v>17</v>
      </c>
    </row>
    <row r="394" spans="1:14" ht="15.75" customHeight="1">
      <c r="A394" s="1">
        <v>0.75580524299999996</v>
      </c>
      <c r="B394" s="1">
        <v>1089</v>
      </c>
      <c r="C394" s="1">
        <v>21</v>
      </c>
      <c r="D394" s="1">
        <v>777</v>
      </c>
      <c r="E394" s="1">
        <v>36120</v>
      </c>
      <c r="F394" s="1">
        <v>36120</v>
      </c>
      <c r="G394" s="1" t="s">
        <v>23</v>
      </c>
      <c r="H394" s="1">
        <v>0.15060240999999999</v>
      </c>
      <c r="I394" s="1">
        <v>0.14457831300000001</v>
      </c>
      <c r="J394" s="1">
        <v>0.16265060200000001</v>
      </c>
      <c r="K394" s="1">
        <v>0.20481927699999999</v>
      </c>
      <c r="L394" s="1">
        <v>0.33734939800000002</v>
      </c>
      <c r="M394" s="1" t="s">
        <v>16</v>
      </c>
      <c r="N394" s="1" t="s">
        <v>17</v>
      </c>
    </row>
    <row r="395" spans="1:14" ht="15.75" customHeight="1">
      <c r="A395" s="1">
        <v>0.78616852100000001</v>
      </c>
      <c r="B395" s="1">
        <v>1103</v>
      </c>
      <c r="C395" s="1">
        <v>21</v>
      </c>
      <c r="D395" s="1">
        <v>1035</v>
      </c>
      <c r="E395" s="1">
        <v>38974</v>
      </c>
      <c r="F395" s="1">
        <v>38974</v>
      </c>
      <c r="G395" s="1" t="s">
        <v>23</v>
      </c>
      <c r="H395" s="1">
        <v>0.192307692</v>
      </c>
      <c r="I395" s="1">
        <v>0.148351648</v>
      </c>
      <c r="J395" s="1">
        <v>0.29670329699999998</v>
      </c>
      <c r="K395" s="1">
        <v>0.192307692</v>
      </c>
      <c r="L395" s="1">
        <v>0.17032966999999999</v>
      </c>
      <c r="M395" s="1" t="s">
        <v>16</v>
      </c>
      <c r="N395" s="1" t="s">
        <v>17</v>
      </c>
    </row>
    <row r="396" spans="1:14" ht="15.75" customHeight="1">
      <c r="A396" s="1">
        <v>0.427561837</v>
      </c>
      <c r="B396" s="1">
        <v>961</v>
      </c>
      <c r="C396" s="1">
        <v>17</v>
      </c>
      <c r="D396" s="1">
        <v>982</v>
      </c>
      <c r="E396" s="1">
        <v>18950</v>
      </c>
      <c r="F396" s="1">
        <v>18950</v>
      </c>
      <c r="G396" s="1" t="s">
        <v>23</v>
      </c>
      <c r="H396" s="1">
        <v>0.08</v>
      </c>
      <c r="I396" s="1">
        <v>0</v>
      </c>
      <c r="J396" s="1">
        <v>0.12</v>
      </c>
      <c r="K396" s="1">
        <v>0.48</v>
      </c>
      <c r="L396" s="1">
        <v>0.32</v>
      </c>
      <c r="M396" s="1" t="s">
        <v>16</v>
      </c>
      <c r="N396" s="1" t="s">
        <v>17</v>
      </c>
    </row>
    <row r="397" spans="1:14" ht="15.75" customHeight="1">
      <c r="A397" s="1">
        <v>0.57391304300000001</v>
      </c>
      <c r="B397" s="1">
        <v>1020</v>
      </c>
      <c r="C397" s="1">
        <v>19</v>
      </c>
      <c r="D397" s="1">
        <v>573</v>
      </c>
      <c r="E397" s="1">
        <v>13890</v>
      </c>
      <c r="F397" s="1">
        <v>13890</v>
      </c>
      <c r="G397" s="1" t="s">
        <v>23</v>
      </c>
      <c r="H397" s="1">
        <v>0.192307692</v>
      </c>
      <c r="I397" s="1">
        <v>0.26923076899999998</v>
      </c>
      <c r="J397" s="1">
        <v>7.6923077000000006E-2</v>
      </c>
      <c r="K397" s="1">
        <v>0.115384615</v>
      </c>
      <c r="L397" s="1">
        <v>0.34615384599999999</v>
      </c>
      <c r="M397" s="1" t="s">
        <v>16</v>
      </c>
      <c r="N397" s="1" t="s">
        <v>17</v>
      </c>
    </row>
    <row r="398" spans="1:14" ht="15.75" customHeight="1">
      <c r="A398" s="1">
        <v>0.80102348000000001</v>
      </c>
      <c r="B398" s="1">
        <v>1227</v>
      </c>
      <c r="C398" s="1">
        <v>26</v>
      </c>
      <c r="D398" s="1">
        <v>1785</v>
      </c>
      <c r="E398" s="1">
        <v>35400</v>
      </c>
      <c r="F398" s="1">
        <v>35400</v>
      </c>
      <c r="G398" s="1" t="s">
        <v>23</v>
      </c>
      <c r="H398" s="1">
        <v>0.12770137500000001</v>
      </c>
      <c r="I398" s="1">
        <v>0.119842829</v>
      </c>
      <c r="J398" s="1">
        <v>0.13163064799999999</v>
      </c>
      <c r="K398" s="1">
        <v>0.17288801600000001</v>
      </c>
      <c r="L398" s="1">
        <v>0.44793713200000002</v>
      </c>
      <c r="M398" s="1" t="s">
        <v>16</v>
      </c>
      <c r="N398" s="1" t="s">
        <v>17</v>
      </c>
    </row>
    <row r="399" spans="1:14" ht="15.75" customHeight="1">
      <c r="A399" s="1">
        <v>0.84303351000000004</v>
      </c>
      <c r="B399" s="1">
        <v>1119</v>
      </c>
      <c r="C399" s="1">
        <v>22</v>
      </c>
      <c r="D399" s="1">
        <v>1346</v>
      </c>
      <c r="E399" s="1">
        <v>35524</v>
      </c>
      <c r="F399" s="1">
        <v>35524</v>
      </c>
      <c r="G399" s="1" t="s">
        <v>23</v>
      </c>
      <c r="H399" s="1">
        <v>0.12719298200000001</v>
      </c>
      <c r="I399" s="1">
        <v>0.12719298200000001</v>
      </c>
      <c r="J399" s="1">
        <v>0.20175438600000001</v>
      </c>
      <c r="K399" s="1">
        <v>0.22368421099999999</v>
      </c>
      <c r="L399" s="1">
        <v>0.32017543900000001</v>
      </c>
      <c r="M399" s="1" t="s">
        <v>16</v>
      </c>
      <c r="N399" s="1" t="s">
        <v>17</v>
      </c>
    </row>
    <row r="400" spans="1:14" ht="15.75" customHeight="1">
      <c r="A400" s="1">
        <v>0.56523743699999995</v>
      </c>
      <c r="B400" s="1">
        <v>1068</v>
      </c>
      <c r="C400" s="1">
        <v>21</v>
      </c>
      <c r="D400" s="1">
        <v>1100</v>
      </c>
      <c r="E400" s="1">
        <v>36650</v>
      </c>
      <c r="F400" s="1">
        <v>36650</v>
      </c>
      <c r="G400" s="1" t="s">
        <v>23</v>
      </c>
      <c r="H400" s="1">
        <v>0.179591837</v>
      </c>
      <c r="I400" s="1">
        <v>0.155102041</v>
      </c>
      <c r="J400" s="1">
        <v>0.171428571</v>
      </c>
      <c r="K400" s="1">
        <v>0.22448979599999999</v>
      </c>
      <c r="L400" s="1">
        <v>0.26938775500000001</v>
      </c>
      <c r="M400" s="1" t="s">
        <v>16</v>
      </c>
      <c r="N400" s="1" t="s">
        <v>17</v>
      </c>
    </row>
    <row r="401" spans="1:14" ht="15.75" customHeight="1">
      <c r="A401" s="1">
        <v>0.81662218799999997</v>
      </c>
      <c r="B401" s="1">
        <v>1016</v>
      </c>
      <c r="C401" s="1">
        <v>19</v>
      </c>
      <c r="D401" s="1">
        <v>1407</v>
      </c>
      <c r="E401" s="1">
        <v>31440</v>
      </c>
      <c r="F401" s="1">
        <v>31440</v>
      </c>
      <c r="G401" s="1" t="s">
        <v>23</v>
      </c>
      <c r="H401" s="1">
        <v>0.149870801</v>
      </c>
      <c r="I401" s="1">
        <v>0.13178294600000001</v>
      </c>
      <c r="J401" s="1">
        <v>0.211886305</v>
      </c>
      <c r="K401" s="1">
        <v>0.16795865600000001</v>
      </c>
      <c r="L401" s="1">
        <v>0.33850129200000001</v>
      </c>
      <c r="M401" s="1" t="s">
        <v>16</v>
      </c>
      <c r="N401" s="1" t="s">
        <v>17</v>
      </c>
    </row>
    <row r="402" spans="1:14" ht="15.75" customHeight="1">
      <c r="A402" s="1">
        <v>0.329830601</v>
      </c>
      <c r="B402" s="1">
        <v>1440</v>
      </c>
      <c r="C402" s="1">
        <v>32</v>
      </c>
      <c r="D402" s="1">
        <v>2950</v>
      </c>
      <c r="E402" s="1">
        <v>64646</v>
      </c>
      <c r="F402" s="1">
        <v>64646</v>
      </c>
      <c r="G402" s="1" t="s">
        <v>23</v>
      </c>
      <c r="H402" s="1">
        <v>7.0945945999999996E-2</v>
      </c>
      <c r="I402" s="1">
        <v>0.10135135100000001</v>
      </c>
      <c r="J402" s="1">
        <v>8.1081080999999999E-2</v>
      </c>
      <c r="K402" s="1">
        <v>0.131756757</v>
      </c>
      <c r="L402" s="1">
        <v>0.61486486500000004</v>
      </c>
      <c r="M402" s="1" t="s">
        <v>16</v>
      </c>
      <c r="N402" s="1" t="s">
        <v>17</v>
      </c>
    </row>
    <row r="403" spans="1:14" ht="15.75" customHeight="1">
      <c r="A403" s="1">
        <v>0.85246953199999997</v>
      </c>
      <c r="B403" s="1">
        <v>1150</v>
      </c>
      <c r="C403" s="1">
        <v>23</v>
      </c>
      <c r="D403" s="1">
        <v>785</v>
      </c>
      <c r="E403" s="1">
        <v>34370</v>
      </c>
      <c r="F403" s="1">
        <v>34370</v>
      </c>
      <c r="G403" s="1" t="s">
        <v>23</v>
      </c>
      <c r="H403" s="1">
        <v>0.21568627500000001</v>
      </c>
      <c r="I403" s="1">
        <v>0.16339869300000001</v>
      </c>
      <c r="J403" s="1">
        <v>0.183006536</v>
      </c>
      <c r="K403" s="1">
        <v>0.111111111</v>
      </c>
      <c r="L403" s="1">
        <v>0.32679738600000002</v>
      </c>
      <c r="M403" s="1" t="s">
        <v>16</v>
      </c>
      <c r="N403" s="1" t="s">
        <v>17</v>
      </c>
    </row>
    <row r="404" spans="1:14" ht="15.75" customHeight="1">
      <c r="A404" s="1">
        <v>0.73352435500000002</v>
      </c>
      <c r="B404" s="1">
        <v>1290</v>
      </c>
      <c r="C404" s="1">
        <v>27</v>
      </c>
      <c r="D404" s="1">
        <v>2386</v>
      </c>
      <c r="E404" s="1">
        <v>37800</v>
      </c>
      <c r="F404" s="1">
        <v>37800</v>
      </c>
      <c r="G404" s="1" t="s">
        <v>23</v>
      </c>
      <c r="H404" s="1">
        <v>0.11685393299999999</v>
      </c>
      <c r="I404" s="1">
        <v>9.8876404000000001E-2</v>
      </c>
      <c r="J404" s="1">
        <v>0.143820225</v>
      </c>
      <c r="K404" s="1">
        <v>0.235955056</v>
      </c>
      <c r="L404" s="1">
        <v>0.40449438199999999</v>
      </c>
      <c r="M404" s="1" t="s">
        <v>16</v>
      </c>
      <c r="N404" s="1" t="s">
        <v>17</v>
      </c>
    </row>
    <row r="405" spans="1:14" ht="15.75" customHeight="1">
      <c r="A405" s="1">
        <v>0.50665732299999999</v>
      </c>
      <c r="B405" s="1">
        <v>1311</v>
      </c>
      <c r="C405" s="1">
        <v>29</v>
      </c>
      <c r="D405" s="1">
        <v>1450</v>
      </c>
      <c r="E405" s="1">
        <v>52357</v>
      </c>
      <c r="F405" s="1">
        <v>52357</v>
      </c>
      <c r="G405" s="1" t="s">
        <v>23</v>
      </c>
      <c r="H405" s="1">
        <v>0.141935484</v>
      </c>
      <c r="I405" s="1">
        <v>7.7419354999999995E-2</v>
      </c>
      <c r="J405" s="1">
        <v>0.180645161</v>
      </c>
      <c r="K405" s="1">
        <v>0.2</v>
      </c>
      <c r="L405" s="1">
        <v>0.4</v>
      </c>
      <c r="M405" s="1" t="s">
        <v>16</v>
      </c>
      <c r="N405" s="1" t="s">
        <v>17</v>
      </c>
    </row>
    <row r="406" spans="1:14" ht="15.75" customHeight="1">
      <c r="A406" s="1">
        <v>0.83304745599999996</v>
      </c>
      <c r="B406" s="1">
        <v>1220</v>
      </c>
      <c r="C406" s="1">
        <v>25</v>
      </c>
      <c r="D406" s="1">
        <v>2055</v>
      </c>
      <c r="E406" s="1">
        <v>34899</v>
      </c>
      <c r="F406" s="1">
        <v>34899</v>
      </c>
      <c r="G406" s="1" t="s">
        <v>23</v>
      </c>
      <c r="H406" s="1">
        <v>0.136276392</v>
      </c>
      <c r="I406" s="1">
        <v>9.7888675999999994E-2</v>
      </c>
      <c r="J406" s="1">
        <v>0.134357006</v>
      </c>
      <c r="K406" s="1">
        <v>0.15547025</v>
      </c>
      <c r="L406" s="1">
        <v>0.47600767799999999</v>
      </c>
      <c r="M406" s="1" t="s">
        <v>16</v>
      </c>
      <c r="N406" s="1" t="s">
        <v>17</v>
      </c>
    </row>
    <row r="407" spans="1:14" ht="15.75" customHeight="1">
      <c r="A407" s="1">
        <v>0.72229580599999998</v>
      </c>
      <c r="B407" s="1">
        <v>1218</v>
      </c>
      <c r="C407" s="1">
        <v>26</v>
      </c>
      <c r="D407" s="1">
        <v>2775</v>
      </c>
      <c r="E407" s="1">
        <v>32630</v>
      </c>
      <c r="F407" s="1">
        <v>32630</v>
      </c>
      <c r="G407" s="1" t="s">
        <v>23</v>
      </c>
      <c r="H407" s="1">
        <v>7.3873874000000006E-2</v>
      </c>
      <c r="I407" s="1">
        <v>5.0450450000000001E-2</v>
      </c>
      <c r="J407" s="1">
        <v>0.10270270300000001</v>
      </c>
      <c r="K407" s="1">
        <v>0.172972973</v>
      </c>
      <c r="L407" s="1">
        <v>0.6</v>
      </c>
      <c r="M407" s="1" t="s">
        <v>16</v>
      </c>
      <c r="N407" s="1" t="s">
        <v>17</v>
      </c>
    </row>
    <row r="408" spans="1:14" ht="15.75" customHeight="1">
      <c r="A408" s="1">
        <v>0.797701149</v>
      </c>
      <c r="B408" s="1">
        <v>989</v>
      </c>
      <c r="C408" s="1">
        <v>18</v>
      </c>
      <c r="D408" s="1">
        <v>1938</v>
      </c>
      <c r="E408" s="1">
        <v>32400</v>
      </c>
      <c r="F408" s="1">
        <v>32400</v>
      </c>
      <c r="G408" s="1" t="s">
        <v>23</v>
      </c>
      <c r="H408" s="1">
        <v>0.307517084</v>
      </c>
      <c r="I408" s="1">
        <v>0.18451025099999999</v>
      </c>
      <c r="J408" s="1">
        <v>0.132118451</v>
      </c>
      <c r="K408" s="1">
        <v>0.123006834</v>
      </c>
      <c r="L408" s="1">
        <v>0.25284738000000001</v>
      </c>
      <c r="M408" s="1" t="s">
        <v>16</v>
      </c>
      <c r="N408" s="1" t="s">
        <v>17</v>
      </c>
    </row>
    <row r="409" spans="1:14" ht="15.75" customHeight="1">
      <c r="A409" s="1">
        <v>0.84013050600000005</v>
      </c>
      <c r="B409" s="1">
        <v>1140</v>
      </c>
      <c r="C409" s="1">
        <v>24</v>
      </c>
      <c r="D409" s="1">
        <v>630</v>
      </c>
      <c r="E409" s="1">
        <v>37860</v>
      </c>
      <c r="F409" s="1">
        <v>37860</v>
      </c>
      <c r="G409" s="1" t="s">
        <v>23</v>
      </c>
      <c r="H409" s="1">
        <v>0.26086956500000003</v>
      </c>
      <c r="I409" s="1">
        <v>0.18478260899999999</v>
      </c>
      <c r="J409" s="1">
        <v>0.19565217400000001</v>
      </c>
      <c r="K409" s="1">
        <v>0.141304348</v>
      </c>
      <c r="L409" s="1">
        <v>0.21739130400000001</v>
      </c>
      <c r="M409" s="1" t="s">
        <v>16</v>
      </c>
      <c r="N409" s="1" t="s">
        <v>17</v>
      </c>
    </row>
    <row r="410" spans="1:14" ht="15.75" customHeight="1">
      <c r="A410" s="1">
        <v>0.78181023199999999</v>
      </c>
      <c r="B410" s="1">
        <v>1210</v>
      </c>
      <c r="C410" s="1">
        <v>25</v>
      </c>
      <c r="D410" s="1">
        <v>1294</v>
      </c>
      <c r="E410" s="1">
        <v>34595</v>
      </c>
      <c r="F410" s="1">
        <v>34595</v>
      </c>
      <c r="G410" s="1" t="s">
        <v>23</v>
      </c>
      <c r="H410" s="1">
        <v>0.15352697100000001</v>
      </c>
      <c r="I410" s="1">
        <v>0.14522821599999999</v>
      </c>
      <c r="J410" s="1">
        <v>0.149377593</v>
      </c>
      <c r="K410" s="1">
        <v>0.17842323700000001</v>
      </c>
      <c r="L410" s="1">
        <v>0.37344398299999998</v>
      </c>
      <c r="M410" s="1" t="s">
        <v>16</v>
      </c>
      <c r="N410" s="1" t="s">
        <v>17</v>
      </c>
    </row>
    <row r="411" spans="1:14" ht="15.75" customHeight="1">
      <c r="A411" s="1">
        <v>0.52728852400000004</v>
      </c>
      <c r="B411" s="1">
        <v>980</v>
      </c>
      <c r="C411" s="1">
        <v>18</v>
      </c>
      <c r="D411" s="1">
        <v>602</v>
      </c>
      <c r="E411" s="1">
        <v>14776</v>
      </c>
      <c r="F411" s="1">
        <v>14776</v>
      </c>
      <c r="G411" s="1" t="s">
        <v>23</v>
      </c>
      <c r="H411" s="1">
        <v>0.64968152899999998</v>
      </c>
      <c r="I411" s="1">
        <v>0.178343949</v>
      </c>
      <c r="J411" s="1">
        <v>8.2802548000000004E-2</v>
      </c>
      <c r="K411" s="1">
        <v>4.4585987000000001E-2</v>
      </c>
      <c r="L411" s="1">
        <v>4.4585987000000001E-2</v>
      </c>
      <c r="M411" s="1" t="s">
        <v>16</v>
      </c>
      <c r="N411" s="1" t="s">
        <v>17</v>
      </c>
    </row>
    <row r="412" spans="1:14" ht="15.75" customHeight="1">
      <c r="A412" s="1">
        <v>0.84603090000000003</v>
      </c>
      <c r="B412" s="1">
        <v>1042</v>
      </c>
      <c r="C412" s="1">
        <v>20</v>
      </c>
      <c r="D412" s="1">
        <v>924</v>
      </c>
      <c r="E412" s="1">
        <v>30962</v>
      </c>
      <c r="F412" s="1">
        <v>30962</v>
      </c>
      <c r="G412" s="1" t="s">
        <v>23</v>
      </c>
      <c r="H412" s="1">
        <v>0.19636363600000001</v>
      </c>
      <c r="I412" s="1">
        <v>0.127272727</v>
      </c>
      <c r="J412" s="1">
        <v>0.17090909100000001</v>
      </c>
      <c r="K412" s="1">
        <v>0.2</v>
      </c>
      <c r="L412" s="1">
        <v>0.30545454500000002</v>
      </c>
      <c r="M412" s="1" t="s">
        <v>16</v>
      </c>
      <c r="N412" s="1" t="s">
        <v>17</v>
      </c>
    </row>
    <row r="413" spans="1:14" ht="15.75" customHeight="1">
      <c r="A413" s="1">
        <v>0.91035182699999995</v>
      </c>
      <c r="B413" s="1">
        <v>1153</v>
      </c>
      <c r="C413" s="1">
        <v>23</v>
      </c>
      <c r="D413" s="1">
        <v>1269</v>
      </c>
      <c r="E413" s="1">
        <v>44602</v>
      </c>
      <c r="F413" s="1">
        <v>44602</v>
      </c>
      <c r="G413" s="1" t="s">
        <v>23</v>
      </c>
      <c r="H413" s="1">
        <v>0.21864951799999999</v>
      </c>
      <c r="I413" s="1">
        <v>0.12218649500000001</v>
      </c>
      <c r="J413" s="1">
        <v>0.15434083600000001</v>
      </c>
      <c r="K413" s="1">
        <v>0.18006430900000001</v>
      </c>
      <c r="L413" s="1">
        <v>0.32475884199999999</v>
      </c>
      <c r="M413" s="1" t="s">
        <v>16</v>
      </c>
      <c r="N413" s="1" t="s">
        <v>17</v>
      </c>
    </row>
    <row r="414" spans="1:14" ht="15.75" customHeight="1">
      <c r="A414" s="1">
        <v>0.54316597899999997</v>
      </c>
      <c r="B414" s="1">
        <v>1370</v>
      </c>
      <c r="C414" s="1">
        <v>30</v>
      </c>
      <c r="D414" s="1">
        <v>1876</v>
      </c>
      <c r="E414" s="1">
        <v>59550</v>
      </c>
      <c r="F414" s="1">
        <v>59550</v>
      </c>
      <c r="G414" s="1" t="s">
        <v>23</v>
      </c>
      <c r="H414" s="1">
        <v>0.17152103599999999</v>
      </c>
      <c r="I414" s="1">
        <v>7.4433657E-2</v>
      </c>
      <c r="J414" s="1">
        <v>0.16504854399999999</v>
      </c>
      <c r="K414" s="1">
        <v>0.16828478999999999</v>
      </c>
      <c r="L414" s="1">
        <v>0.42071197399999999</v>
      </c>
      <c r="M414" s="1" t="s">
        <v>16</v>
      </c>
      <c r="N414" s="1" t="s">
        <v>17</v>
      </c>
    </row>
    <row r="415" spans="1:14" ht="15.75" customHeight="1">
      <c r="A415" s="1">
        <v>0.87725373100000004</v>
      </c>
      <c r="B415" s="1">
        <v>1224</v>
      </c>
      <c r="C415" s="1">
        <v>26</v>
      </c>
      <c r="D415" s="1">
        <v>4723</v>
      </c>
      <c r="E415" s="1">
        <v>48125</v>
      </c>
      <c r="F415" s="1">
        <v>48125</v>
      </c>
      <c r="G415" s="1" t="s">
        <v>23</v>
      </c>
      <c r="H415" s="1">
        <v>0.16472303199999999</v>
      </c>
      <c r="I415" s="1">
        <v>9.0379008999999996E-2</v>
      </c>
      <c r="J415" s="1">
        <v>0.109329446</v>
      </c>
      <c r="K415" s="1">
        <v>0.16180758000000001</v>
      </c>
      <c r="L415" s="1">
        <v>0.473760933</v>
      </c>
      <c r="M415" s="1" t="s">
        <v>16</v>
      </c>
      <c r="N415" s="1" t="s">
        <v>17</v>
      </c>
    </row>
    <row r="416" spans="1:14" ht="15.75" customHeight="1">
      <c r="A416" s="1">
        <v>0.44808743200000001</v>
      </c>
      <c r="B416" s="1">
        <v>1020</v>
      </c>
      <c r="C416" s="1">
        <v>20</v>
      </c>
      <c r="D416" s="1">
        <v>262</v>
      </c>
      <c r="E416" s="1">
        <v>17322</v>
      </c>
      <c r="F416" s="1">
        <v>17322</v>
      </c>
      <c r="G416" s="1" t="s">
        <v>23</v>
      </c>
      <c r="H416" s="1">
        <v>0.19354838699999999</v>
      </c>
      <c r="I416" s="1">
        <v>0.29032258100000002</v>
      </c>
      <c r="J416" s="1">
        <v>9.6774193999999994E-2</v>
      </c>
      <c r="K416" s="1">
        <v>0.12903225800000001</v>
      </c>
      <c r="L416" s="1">
        <v>0.29032258100000002</v>
      </c>
      <c r="M416" s="1" t="s">
        <v>16</v>
      </c>
      <c r="N416" s="1" t="s">
        <v>17</v>
      </c>
    </row>
    <row r="417" spans="1:14" ht="15.75" customHeight="1">
      <c r="A417" s="1">
        <v>0.97073884399999999</v>
      </c>
      <c r="B417" s="1">
        <v>1117</v>
      </c>
      <c r="C417" s="1">
        <v>22</v>
      </c>
      <c r="D417" s="1">
        <v>1897</v>
      </c>
      <c r="E417" s="1">
        <v>25900</v>
      </c>
      <c r="F417" s="1">
        <v>25900</v>
      </c>
      <c r="G417" s="1" t="s">
        <v>23</v>
      </c>
      <c r="H417" s="1">
        <v>0.25465838499999999</v>
      </c>
      <c r="I417" s="1">
        <v>0.13664596300000001</v>
      </c>
      <c r="J417" s="1">
        <v>0.26086956500000003</v>
      </c>
      <c r="K417" s="1">
        <v>0.20496894399999999</v>
      </c>
      <c r="L417" s="1">
        <v>0.14285714299999999</v>
      </c>
      <c r="M417" s="1" t="s">
        <v>16</v>
      </c>
      <c r="N417" s="1" t="s">
        <v>17</v>
      </c>
    </row>
    <row r="418" spans="1:14" ht="15.75" customHeight="1">
      <c r="A418" s="1">
        <v>0.55683646099999995</v>
      </c>
      <c r="B418" s="1">
        <v>1173</v>
      </c>
      <c r="C418" s="1">
        <v>24</v>
      </c>
      <c r="D418" s="1">
        <v>1292</v>
      </c>
      <c r="E418" s="1">
        <v>34050</v>
      </c>
      <c r="F418" s="1">
        <v>34050</v>
      </c>
      <c r="G418" s="1" t="s">
        <v>23</v>
      </c>
      <c r="H418" s="1">
        <v>0.19834710699999999</v>
      </c>
      <c r="I418" s="1">
        <v>0.13636363600000001</v>
      </c>
      <c r="J418" s="1">
        <v>0.19008264499999999</v>
      </c>
      <c r="K418" s="1">
        <v>0.17768595000000001</v>
      </c>
      <c r="L418" s="1">
        <v>0.29752066100000002</v>
      </c>
      <c r="M418" s="1" t="s">
        <v>16</v>
      </c>
      <c r="N418" s="1" t="s">
        <v>17</v>
      </c>
    </row>
    <row r="419" spans="1:14" ht="15.75" customHeight="1">
      <c r="A419" s="1">
        <v>0.70391061499999996</v>
      </c>
      <c r="B419" s="1">
        <v>1150</v>
      </c>
      <c r="C419" s="1">
        <v>23</v>
      </c>
      <c r="D419" s="1">
        <v>1433</v>
      </c>
      <c r="E419" s="1">
        <v>33586</v>
      </c>
      <c r="F419" s="1">
        <v>33586</v>
      </c>
      <c r="G419" s="1" t="s">
        <v>23</v>
      </c>
      <c r="H419" s="1">
        <v>0.30088495599999998</v>
      </c>
      <c r="I419" s="1">
        <v>0.159292035</v>
      </c>
      <c r="J419" s="1">
        <v>0.17699115000000001</v>
      </c>
      <c r="K419" s="1">
        <v>0.15044247799999999</v>
      </c>
      <c r="L419" s="1">
        <v>0.21238938099999999</v>
      </c>
      <c r="M419" s="1" t="s">
        <v>16</v>
      </c>
      <c r="N419" s="1" t="s">
        <v>17</v>
      </c>
    </row>
    <row r="420" spans="1:14" ht="15.75" customHeight="1">
      <c r="A420" s="1">
        <v>0.985985161</v>
      </c>
      <c r="B420" s="1">
        <v>1183</v>
      </c>
      <c r="C420" s="1">
        <v>24</v>
      </c>
      <c r="D420" s="1">
        <v>3322</v>
      </c>
      <c r="E420" s="1">
        <v>34100</v>
      </c>
      <c r="F420" s="1">
        <v>34100</v>
      </c>
      <c r="G420" s="1" t="s">
        <v>23</v>
      </c>
      <c r="H420" s="1">
        <v>0.255868545</v>
      </c>
      <c r="I420" s="1">
        <v>0.17605633800000001</v>
      </c>
      <c r="J420" s="1">
        <v>0.17370891999999999</v>
      </c>
      <c r="K420" s="1">
        <v>0.157276995</v>
      </c>
      <c r="L420" s="1">
        <v>0.237089202</v>
      </c>
      <c r="M420" s="1" t="s">
        <v>16</v>
      </c>
      <c r="N420" s="1" t="s">
        <v>17</v>
      </c>
    </row>
    <row r="421" spans="1:14" ht="15.75" customHeight="1">
      <c r="A421" s="1">
        <v>0.57985220900000001</v>
      </c>
      <c r="B421" s="1">
        <v>1325</v>
      </c>
      <c r="C421" s="1">
        <v>28</v>
      </c>
      <c r="D421" s="1">
        <v>2447</v>
      </c>
      <c r="E421" s="1">
        <v>48602</v>
      </c>
      <c r="F421" s="1">
        <v>48602</v>
      </c>
      <c r="G421" s="1" t="s">
        <v>23</v>
      </c>
      <c r="H421" s="1">
        <v>0.245714286</v>
      </c>
      <c r="I421" s="1">
        <v>0.157142857</v>
      </c>
      <c r="J421" s="1">
        <v>0.18857142900000001</v>
      </c>
      <c r="K421" s="1">
        <v>0.145714286</v>
      </c>
      <c r="L421" s="1">
        <v>0.26285714300000002</v>
      </c>
      <c r="M421" s="1" t="s">
        <v>16</v>
      </c>
      <c r="N421" s="1" t="s">
        <v>17</v>
      </c>
    </row>
    <row r="422" spans="1:14" ht="15.75" customHeight="1">
      <c r="A422" s="1">
        <v>0.96414235999999998</v>
      </c>
      <c r="B422" s="1">
        <v>1170</v>
      </c>
      <c r="C422" s="1">
        <v>23</v>
      </c>
      <c r="D422" s="1">
        <v>2505</v>
      </c>
      <c r="E422" s="1">
        <v>40940</v>
      </c>
      <c r="F422" s="1">
        <v>40940</v>
      </c>
      <c r="G422" s="1" t="s">
        <v>23</v>
      </c>
      <c r="H422" s="1">
        <v>9.6114518999999995E-2</v>
      </c>
      <c r="I422" s="1">
        <v>0.10633946800000001</v>
      </c>
      <c r="J422" s="1">
        <v>0.132924335</v>
      </c>
      <c r="K422" s="1">
        <v>0.17382413099999999</v>
      </c>
      <c r="L422" s="1">
        <v>0.49079754599999997</v>
      </c>
      <c r="M422" s="1" t="s">
        <v>16</v>
      </c>
      <c r="N422" s="1" t="s">
        <v>17</v>
      </c>
    </row>
    <row r="423" spans="1:14" ht="15.75" customHeight="1">
      <c r="A423" s="1">
        <v>0.74534259599999997</v>
      </c>
      <c r="B423" s="1">
        <v>1321</v>
      </c>
      <c r="C423" s="1">
        <v>29</v>
      </c>
      <c r="D423" s="1">
        <v>2167</v>
      </c>
      <c r="E423" s="1">
        <v>62350</v>
      </c>
      <c r="F423" s="1">
        <v>62350</v>
      </c>
      <c r="G423" s="1" t="s">
        <v>23</v>
      </c>
      <c r="H423" s="1">
        <v>0.11176470600000001</v>
      </c>
      <c r="I423" s="1">
        <v>6.0784313999999999E-2</v>
      </c>
      <c r="J423" s="1">
        <v>9.4117646999999999E-2</v>
      </c>
      <c r="K423" s="1">
        <v>0.13529411799999999</v>
      </c>
      <c r="L423" s="1">
        <v>0.59803921599999998</v>
      </c>
      <c r="M423" s="1" t="s">
        <v>16</v>
      </c>
      <c r="N423" s="1" t="s">
        <v>17</v>
      </c>
    </row>
    <row r="424" spans="1:14" ht="15.75" customHeight="1">
      <c r="A424" s="1">
        <v>0.91764288199999999</v>
      </c>
      <c r="B424" s="1">
        <v>1123</v>
      </c>
      <c r="C424" s="1">
        <v>23</v>
      </c>
      <c r="D424" s="1">
        <v>1556</v>
      </c>
      <c r="E424" s="1">
        <v>54466</v>
      </c>
      <c r="F424" s="1">
        <v>54466</v>
      </c>
      <c r="G424" s="1" t="s">
        <v>23</v>
      </c>
      <c r="H424" s="1">
        <v>9.4594595000000004E-2</v>
      </c>
      <c r="I424" s="1">
        <v>8.6486486000000001E-2</v>
      </c>
      <c r="J424" s="1">
        <v>0.116216216</v>
      </c>
      <c r="K424" s="1">
        <v>0.12702702699999999</v>
      </c>
      <c r="L424" s="1">
        <v>0.57567567600000003</v>
      </c>
      <c r="M424" s="1" t="s">
        <v>16</v>
      </c>
      <c r="N424" s="1" t="s">
        <v>17</v>
      </c>
    </row>
    <row r="425" spans="1:14" ht="15.75" customHeight="1">
      <c r="A425" s="1">
        <v>0.95387678399999998</v>
      </c>
      <c r="B425" s="1">
        <v>1277</v>
      </c>
      <c r="C425" s="1">
        <v>28</v>
      </c>
      <c r="D425" s="1">
        <v>3104</v>
      </c>
      <c r="E425" s="1">
        <v>54900</v>
      </c>
      <c r="F425" s="1">
        <v>54900</v>
      </c>
      <c r="G425" s="1" t="s">
        <v>23</v>
      </c>
      <c r="H425" s="1">
        <v>0.140417457</v>
      </c>
      <c r="I425" s="1">
        <v>0.140417457</v>
      </c>
      <c r="J425" s="1">
        <v>0.16698292200000001</v>
      </c>
      <c r="K425" s="1">
        <v>0.16698292200000001</v>
      </c>
      <c r="L425" s="1">
        <v>0.38519924100000003</v>
      </c>
      <c r="M425" s="1" t="s">
        <v>16</v>
      </c>
      <c r="N425" s="1" t="s">
        <v>17</v>
      </c>
    </row>
    <row r="426" spans="1:14" ht="15.75" customHeight="1">
      <c r="A426" s="1">
        <v>0.27157789900000001</v>
      </c>
      <c r="B426" s="1">
        <v>1420</v>
      </c>
      <c r="C426" s="1">
        <v>32</v>
      </c>
      <c r="D426" s="1">
        <v>1407</v>
      </c>
      <c r="E426" s="1">
        <v>67020</v>
      </c>
      <c r="F426" s="1">
        <v>67020</v>
      </c>
      <c r="G426" s="1" t="s">
        <v>23</v>
      </c>
      <c r="H426" s="1">
        <v>0.110526316</v>
      </c>
      <c r="I426" s="1">
        <v>8.4210525999999994E-2</v>
      </c>
      <c r="J426" s="1">
        <v>0.105263158</v>
      </c>
      <c r="K426" s="1">
        <v>0.131578947</v>
      </c>
      <c r="L426" s="1">
        <v>0.56842105300000001</v>
      </c>
      <c r="M426" s="1" t="s">
        <v>16</v>
      </c>
      <c r="N426" s="1" t="s">
        <v>17</v>
      </c>
    </row>
    <row r="427" spans="1:14" ht="15.75" customHeight="1">
      <c r="A427" s="1">
        <v>0.79108838599999998</v>
      </c>
      <c r="B427" s="1">
        <v>1339</v>
      </c>
      <c r="C427" s="1">
        <v>30</v>
      </c>
      <c r="D427" s="1">
        <v>1525</v>
      </c>
      <c r="E427" s="1">
        <v>48268</v>
      </c>
      <c r="F427" s="1">
        <v>48268</v>
      </c>
      <c r="G427" s="1" t="s">
        <v>23</v>
      </c>
      <c r="H427" s="1">
        <v>0.14134275600000001</v>
      </c>
      <c r="I427" s="1">
        <v>8.8339222999999995E-2</v>
      </c>
      <c r="J427" s="1">
        <v>0.18374558299999999</v>
      </c>
      <c r="K427" s="1">
        <v>0.151943463</v>
      </c>
      <c r="L427" s="1">
        <v>0.43462897499999997</v>
      </c>
      <c r="M427" s="1" t="s">
        <v>16</v>
      </c>
      <c r="N427" s="1" t="s">
        <v>17</v>
      </c>
    </row>
    <row r="428" spans="1:14" ht="15.75" customHeight="1">
      <c r="A428" s="1">
        <v>0.58533201199999996</v>
      </c>
      <c r="B428" s="1">
        <v>1292</v>
      </c>
      <c r="C428" s="1">
        <v>29</v>
      </c>
      <c r="D428" s="1">
        <v>1209</v>
      </c>
      <c r="E428" s="1">
        <v>54960</v>
      </c>
      <c r="F428" s="1">
        <v>54960</v>
      </c>
      <c r="G428" s="1" t="s">
        <v>23</v>
      </c>
      <c r="H428" s="1">
        <v>0.12653061199999999</v>
      </c>
      <c r="I428" s="1">
        <v>0.10204081600000001</v>
      </c>
      <c r="J428" s="1">
        <v>0.155102041</v>
      </c>
      <c r="K428" s="1">
        <v>0.163265306</v>
      </c>
      <c r="L428" s="1">
        <v>0.45306122399999998</v>
      </c>
      <c r="M428" s="1" t="s">
        <v>16</v>
      </c>
      <c r="N428" s="1" t="s">
        <v>17</v>
      </c>
    </row>
    <row r="429" spans="1:14" ht="15.75" customHeight="1">
      <c r="A429" s="1">
        <v>0.78575357499999998</v>
      </c>
      <c r="B429" s="1">
        <v>1199</v>
      </c>
      <c r="C429" s="1">
        <v>27</v>
      </c>
      <c r="D429" s="1">
        <v>2113</v>
      </c>
      <c r="E429" s="1">
        <v>44800</v>
      </c>
      <c r="F429" s="1">
        <v>44800</v>
      </c>
      <c r="G429" s="1" t="s">
        <v>23</v>
      </c>
      <c r="H429" s="1">
        <v>9.6638655000000004E-2</v>
      </c>
      <c r="I429" s="1">
        <v>5.0420168000000001E-2</v>
      </c>
      <c r="J429" s="1">
        <v>0.11554621800000001</v>
      </c>
      <c r="K429" s="1">
        <v>0.16806722700000001</v>
      </c>
      <c r="L429" s="1">
        <v>0.569327731</v>
      </c>
      <c r="M429" s="1" t="s">
        <v>16</v>
      </c>
      <c r="N429" s="1" t="s">
        <v>17</v>
      </c>
    </row>
    <row r="430" spans="1:14" ht="15.75" customHeight="1">
      <c r="A430" s="1">
        <v>0.79186602900000003</v>
      </c>
      <c r="B430" s="1">
        <v>1210</v>
      </c>
      <c r="C430" s="1">
        <v>28</v>
      </c>
      <c r="D430" s="1">
        <v>1799</v>
      </c>
      <c r="E430" s="1">
        <v>48290</v>
      </c>
      <c r="F430" s="1">
        <v>48290</v>
      </c>
      <c r="G430" s="1" t="s">
        <v>23</v>
      </c>
      <c r="H430" s="1">
        <v>0.15920397999999999</v>
      </c>
      <c r="I430" s="1">
        <v>0.10945273599999999</v>
      </c>
      <c r="J430" s="1">
        <v>0.146766169</v>
      </c>
      <c r="K430" s="1">
        <v>0.17412935299999999</v>
      </c>
      <c r="L430" s="1">
        <v>0.41044776100000002</v>
      </c>
      <c r="M430" s="1" t="s">
        <v>16</v>
      </c>
      <c r="N430" s="1" t="s">
        <v>17</v>
      </c>
    </row>
    <row r="431" spans="1:14" ht="15.75" customHeight="1">
      <c r="A431" s="1">
        <v>0.31055521699999999</v>
      </c>
      <c r="B431" s="1">
        <v>1404</v>
      </c>
      <c r="C431" s="1">
        <v>32</v>
      </c>
      <c r="D431" s="1">
        <v>1346</v>
      </c>
      <c r="E431" s="1">
        <v>62560</v>
      </c>
      <c r="F431" s="1">
        <v>62560</v>
      </c>
      <c r="G431" s="1" t="s">
        <v>23</v>
      </c>
      <c r="H431" s="1">
        <v>5.6034483000000003E-2</v>
      </c>
      <c r="I431" s="1">
        <v>3.8793103000000002E-2</v>
      </c>
      <c r="J431" s="1">
        <v>6.8965517000000004E-2</v>
      </c>
      <c r="K431" s="1">
        <v>8.1896551999999997E-2</v>
      </c>
      <c r="L431" s="1">
        <v>0.75431034500000005</v>
      </c>
      <c r="M431" s="1" t="s">
        <v>16</v>
      </c>
      <c r="N431" s="1" t="s">
        <v>17</v>
      </c>
    </row>
    <row r="432" spans="1:14" ht="15.75" customHeight="1">
      <c r="A432" s="1">
        <v>0.32007266099999998</v>
      </c>
      <c r="B432" s="1">
        <v>1389</v>
      </c>
      <c r="C432" s="1">
        <v>32</v>
      </c>
      <c r="D432" s="1">
        <v>3818</v>
      </c>
      <c r="E432" s="1">
        <v>64772</v>
      </c>
      <c r="F432" s="1">
        <v>64772</v>
      </c>
      <c r="G432" s="1" t="s">
        <v>23</v>
      </c>
      <c r="H432" s="1">
        <v>0.13225058000000001</v>
      </c>
      <c r="I432" s="1">
        <v>9.0487238999999997E-2</v>
      </c>
      <c r="J432" s="1">
        <v>0.11832946599999999</v>
      </c>
      <c r="K432" s="1">
        <v>0.16241299300000001</v>
      </c>
      <c r="L432" s="1">
        <v>0.496519722</v>
      </c>
      <c r="M432" s="1" t="s">
        <v>16</v>
      </c>
      <c r="N432" s="1" t="s">
        <v>17</v>
      </c>
    </row>
    <row r="433" spans="1:14" ht="15.75" customHeight="1">
      <c r="A433" s="1">
        <v>0.70112736899999994</v>
      </c>
      <c r="B433" s="1">
        <v>1205</v>
      </c>
      <c r="C433" s="1">
        <v>26</v>
      </c>
      <c r="D433" s="1">
        <v>1252</v>
      </c>
      <c r="E433" s="1">
        <v>43810</v>
      </c>
      <c r="F433" s="1">
        <v>43810</v>
      </c>
      <c r="G433" s="1" t="s">
        <v>23</v>
      </c>
      <c r="H433" s="1">
        <v>0.12087912100000001</v>
      </c>
      <c r="I433" s="1">
        <v>7.6923077000000006E-2</v>
      </c>
      <c r="J433" s="1">
        <v>9.1575091999999997E-2</v>
      </c>
      <c r="K433" s="1">
        <v>0.16483516500000001</v>
      </c>
      <c r="L433" s="1">
        <v>0.54578754600000001</v>
      </c>
      <c r="M433" s="1" t="s">
        <v>16</v>
      </c>
      <c r="N433" s="1" t="s">
        <v>17</v>
      </c>
    </row>
    <row r="434" spans="1:14" ht="15.75" customHeight="1">
      <c r="A434" s="1">
        <v>0.92493638700000003</v>
      </c>
      <c r="B434" s="1">
        <v>1180</v>
      </c>
      <c r="C434" s="1">
        <v>26</v>
      </c>
      <c r="D434" s="1">
        <v>1644</v>
      </c>
      <c r="E434" s="1">
        <v>43300</v>
      </c>
      <c r="F434" s="1">
        <v>43300</v>
      </c>
      <c r="G434" s="1" t="s">
        <v>23</v>
      </c>
      <c r="H434" s="1">
        <v>0.15443038000000001</v>
      </c>
      <c r="I434" s="1">
        <v>0.118987342</v>
      </c>
      <c r="J434" s="1">
        <v>0.15696202500000001</v>
      </c>
      <c r="K434" s="1">
        <v>0.15189873400000001</v>
      </c>
      <c r="L434" s="1">
        <v>0.41772151899999999</v>
      </c>
      <c r="M434" s="1" t="s">
        <v>16</v>
      </c>
      <c r="N434" s="1" t="s">
        <v>17</v>
      </c>
    </row>
    <row r="435" spans="1:14" ht="15.75" customHeight="1">
      <c r="A435" s="1">
        <v>0.78854875300000005</v>
      </c>
      <c r="B435" s="1">
        <v>1257</v>
      </c>
      <c r="C435" s="1">
        <v>27</v>
      </c>
      <c r="D435" s="1">
        <v>5216</v>
      </c>
      <c r="E435" s="1">
        <v>47146</v>
      </c>
      <c r="F435" s="1">
        <v>47146</v>
      </c>
      <c r="G435" s="1" t="s">
        <v>23</v>
      </c>
      <c r="H435" s="1">
        <v>0.113300493</v>
      </c>
      <c r="I435" s="1">
        <v>9.2610837000000001E-2</v>
      </c>
      <c r="J435" s="1">
        <v>0.130049261</v>
      </c>
      <c r="K435" s="1">
        <v>0.17635468000000001</v>
      </c>
      <c r="L435" s="1">
        <v>0.48768472899999998</v>
      </c>
      <c r="M435" s="1" t="s">
        <v>16</v>
      </c>
      <c r="N435" s="1" t="s">
        <v>17</v>
      </c>
    </row>
    <row r="436" spans="1:14" ht="15.75" customHeight="1">
      <c r="A436" s="1">
        <v>0.76767107899999998</v>
      </c>
      <c r="B436" s="1">
        <v>1190</v>
      </c>
      <c r="C436" s="1">
        <v>27</v>
      </c>
      <c r="D436" s="1">
        <v>1815</v>
      </c>
      <c r="E436" s="1">
        <v>36842</v>
      </c>
      <c r="F436" s="1">
        <v>36842</v>
      </c>
      <c r="G436" s="1" t="s">
        <v>23</v>
      </c>
      <c r="H436" s="1">
        <v>7.7586207000000004E-2</v>
      </c>
      <c r="I436" s="1">
        <v>0.117816092</v>
      </c>
      <c r="J436" s="1">
        <v>0.100574713</v>
      </c>
      <c r="K436" s="1">
        <v>0.16091954</v>
      </c>
      <c r="L436" s="1">
        <v>0.54310344799999999</v>
      </c>
      <c r="M436" s="1" t="s">
        <v>16</v>
      </c>
      <c r="N436" s="1" t="s">
        <v>17</v>
      </c>
    </row>
    <row r="437" spans="1:14" ht="15.75" customHeight="1">
      <c r="A437" s="1">
        <v>0.318275376</v>
      </c>
      <c r="B437" s="1">
        <v>1394</v>
      </c>
      <c r="C437" s="1">
        <v>31</v>
      </c>
      <c r="D437" s="1">
        <v>1904</v>
      </c>
      <c r="E437" s="1">
        <v>68380</v>
      </c>
      <c r="F437" s="1">
        <v>68380</v>
      </c>
      <c r="G437" s="1" t="s">
        <v>23</v>
      </c>
      <c r="H437" s="1">
        <v>0.103139013</v>
      </c>
      <c r="I437" s="1">
        <v>7.1748879000000002E-2</v>
      </c>
      <c r="J437" s="1">
        <v>6.7264573999999994E-2</v>
      </c>
      <c r="K437" s="1">
        <v>0.116591928</v>
      </c>
      <c r="L437" s="1">
        <v>0.64125560500000001</v>
      </c>
      <c r="M437" s="1" t="s">
        <v>16</v>
      </c>
      <c r="N437" s="1" t="s">
        <v>17</v>
      </c>
    </row>
    <row r="438" spans="1:14" ht="15.75" customHeight="1">
      <c r="A438" s="1">
        <v>0.47508072400000001</v>
      </c>
      <c r="B438" s="1">
        <v>1350</v>
      </c>
      <c r="C438" s="1">
        <v>29</v>
      </c>
      <c r="D438" s="1">
        <v>2209</v>
      </c>
      <c r="E438" s="1">
        <v>64230</v>
      </c>
      <c r="F438" s="1">
        <v>64230</v>
      </c>
      <c r="G438" s="1" t="s">
        <v>23</v>
      </c>
      <c r="H438" s="1">
        <v>0.18840579700000001</v>
      </c>
      <c r="I438" s="1">
        <v>9.8550725000000006E-2</v>
      </c>
      <c r="J438" s="1">
        <v>0.133333333</v>
      </c>
      <c r="K438" s="1">
        <v>0.12173913</v>
      </c>
      <c r="L438" s="1">
        <v>0.45797101400000001</v>
      </c>
      <c r="M438" s="1" t="s">
        <v>16</v>
      </c>
      <c r="N438" s="1" t="s">
        <v>17</v>
      </c>
    </row>
    <row r="439" spans="1:14" ht="15.75" customHeight="1">
      <c r="A439" s="1">
        <v>0.12908778000000001</v>
      </c>
      <c r="B439" s="1">
        <v>1498</v>
      </c>
      <c r="C439" s="1">
        <v>34</v>
      </c>
      <c r="D439" s="1">
        <v>1421</v>
      </c>
      <c r="E439" s="1">
        <v>68300</v>
      </c>
      <c r="F439" s="1">
        <v>68300</v>
      </c>
      <c r="G439" s="1" t="s">
        <v>23</v>
      </c>
      <c r="H439" s="1">
        <v>0.11904761899999999</v>
      </c>
      <c r="I439" s="1">
        <v>0.126984127</v>
      </c>
      <c r="J439" s="1">
        <v>0.16666666699999999</v>
      </c>
      <c r="K439" s="1">
        <v>0.16666666699999999</v>
      </c>
      <c r="L439" s="1">
        <v>0.42063492099999999</v>
      </c>
      <c r="M439" s="1" t="s">
        <v>16</v>
      </c>
      <c r="N439" s="1" t="s">
        <v>17</v>
      </c>
    </row>
    <row r="440" spans="1:14" ht="15.75" customHeight="1">
      <c r="A440" s="1">
        <v>0.784473953</v>
      </c>
      <c r="B440" s="1">
        <v>1163</v>
      </c>
      <c r="C440" s="1">
        <v>28</v>
      </c>
      <c r="D440" s="1">
        <v>1265</v>
      </c>
      <c r="E440" s="1">
        <v>28550</v>
      </c>
      <c r="F440" s="1">
        <v>28550</v>
      </c>
      <c r="G440" s="1" t="s">
        <v>23</v>
      </c>
      <c r="H440" s="1">
        <v>0.11038961</v>
      </c>
      <c r="I440" s="1">
        <v>0.11688311699999999</v>
      </c>
      <c r="J440" s="1">
        <v>9.0909090999999997E-2</v>
      </c>
      <c r="K440" s="1">
        <v>0.168831169</v>
      </c>
      <c r="L440" s="1">
        <v>0.51298701300000005</v>
      </c>
      <c r="M440" s="1" t="s">
        <v>16</v>
      </c>
      <c r="N440" s="1" t="s">
        <v>17</v>
      </c>
    </row>
    <row r="441" spans="1:14" ht="15.75" customHeight="1">
      <c r="A441" s="1">
        <v>0.71648954399999998</v>
      </c>
      <c r="B441" s="1">
        <v>1185</v>
      </c>
      <c r="C441" s="1">
        <v>25</v>
      </c>
      <c r="D441" s="1">
        <v>1175</v>
      </c>
      <c r="E441" s="1">
        <v>56402</v>
      </c>
      <c r="F441" s="1">
        <v>56402</v>
      </c>
      <c r="G441" s="1" t="s">
        <v>23</v>
      </c>
      <c r="H441" s="1">
        <v>0.126984127</v>
      </c>
      <c r="I441" s="1">
        <v>9.1269841000000004E-2</v>
      </c>
      <c r="J441" s="1">
        <v>0.17063492099999999</v>
      </c>
      <c r="K441" s="1">
        <v>0.19047618999999999</v>
      </c>
      <c r="L441" s="1">
        <v>0.42063492099999999</v>
      </c>
      <c r="M441" s="1" t="s">
        <v>16</v>
      </c>
      <c r="N441" s="1" t="s">
        <v>17</v>
      </c>
    </row>
    <row r="442" spans="1:14" ht="15.75" customHeight="1">
      <c r="A442" s="1">
        <v>0.93200249499999999</v>
      </c>
      <c r="B442" s="1">
        <v>1150</v>
      </c>
      <c r="C442" s="1">
        <v>23</v>
      </c>
      <c r="D442" s="1">
        <v>1519</v>
      </c>
      <c r="E442" s="1">
        <v>42600</v>
      </c>
      <c r="F442" s="1">
        <v>42600</v>
      </c>
      <c r="G442" s="1" t="s">
        <v>23</v>
      </c>
      <c r="H442" s="1">
        <v>0.16</v>
      </c>
      <c r="I442" s="1">
        <v>0.13090909100000001</v>
      </c>
      <c r="J442" s="1">
        <v>0.20363636399999999</v>
      </c>
      <c r="K442" s="1">
        <v>0.16727272700000001</v>
      </c>
      <c r="L442" s="1">
        <v>0.33818181800000002</v>
      </c>
      <c r="M442" s="1" t="s">
        <v>16</v>
      </c>
      <c r="N442" s="1" t="s">
        <v>17</v>
      </c>
    </row>
    <row r="443" spans="1:14" ht="15.75" customHeight="1">
      <c r="A443" s="1">
        <v>0.31466477599999998</v>
      </c>
      <c r="B443" s="1">
        <v>1419</v>
      </c>
      <c r="C443" s="1">
        <v>32</v>
      </c>
      <c r="D443" s="1">
        <v>2746</v>
      </c>
      <c r="E443" s="1">
        <v>62574</v>
      </c>
      <c r="F443" s="1">
        <v>62574</v>
      </c>
      <c r="G443" s="1" t="s">
        <v>23</v>
      </c>
      <c r="H443" s="1">
        <v>0.190677966</v>
      </c>
      <c r="I443" s="1">
        <v>7.2033897999999999E-2</v>
      </c>
      <c r="J443" s="1">
        <v>0.127118644</v>
      </c>
      <c r="K443" s="1">
        <v>7.6271186000000005E-2</v>
      </c>
      <c r="L443" s="1">
        <v>0.53389830500000002</v>
      </c>
      <c r="M443" s="1" t="s">
        <v>16</v>
      </c>
      <c r="N443" s="1" t="s">
        <v>17</v>
      </c>
    </row>
    <row r="444" spans="1:14" ht="15.75" customHeight="1">
      <c r="A444" s="1">
        <v>0.95189873400000002</v>
      </c>
      <c r="B444" s="1">
        <v>1161</v>
      </c>
      <c r="C444" s="1">
        <v>21</v>
      </c>
      <c r="D444" s="1">
        <v>1511</v>
      </c>
      <c r="E444" s="1">
        <v>29990</v>
      </c>
      <c r="F444" s="1">
        <v>29990</v>
      </c>
      <c r="G444" s="1" t="s">
        <v>23</v>
      </c>
      <c r="H444" s="1">
        <v>0.14516129</v>
      </c>
      <c r="I444" s="1">
        <v>8.8709677000000001E-2</v>
      </c>
      <c r="J444" s="1">
        <v>0.217741935</v>
      </c>
      <c r="K444" s="1">
        <v>0.22580645199999999</v>
      </c>
      <c r="L444" s="1">
        <v>0.322580645</v>
      </c>
      <c r="M444" s="1" t="s">
        <v>16</v>
      </c>
      <c r="N444" s="1" t="s">
        <v>17</v>
      </c>
    </row>
    <row r="445" spans="1:14" ht="15.75" customHeight="1">
      <c r="A445" s="1">
        <v>0.67875969000000003</v>
      </c>
      <c r="B445" s="1">
        <v>1169</v>
      </c>
      <c r="C445" s="1">
        <v>25</v>
      </c>
      <c r="D445" s="1">
        <v>1049</v>
      </c>
      <c r="E445" s="1">
        <v>47675</v>
      </c>
      <c r="F445" s="1">
        <v>47675</v>
      </c>
      <c r="G445" s="1" t="s">
        <v>23</v>
      </c>
      <c r="H445" s="1">
        <v>0.200873362</v>
      </c>
      <c r="I445" s="1">
        <v>0.104803493</v>
      </c>
      <c r="J445" s="1">
        <v>0.200873362</v>
      </c>
      <c r="K445" s="1">
        <v>0.16157205199999999</v>
      </c>
      <c r="L445" s="1">
        <v>0.33187772900000001</v>
      </c>
      <c r="M445" s="1" t="s">
        <v>16</v>
      </c>
      <c r="N445" s="1" t="s">
        <v>17</v>
      </c>
    </row>
    <row r="446" spans="1:14" ht="15.75" customHeight="1">
      <c r="A446" s="1">
        <v>0.837053571</v>
      </c>
      <c r="B446" s="1">
        <v>1153</v>
      </c>
      <c r="C446" s="1">
        <v>24</v>
      </c>
      <c r="D446" s="1">
        <v>1821</v>
      </c>
      <c r="E446" s="1">
        <v>39570</v>
      </c>
      <c r="F446" s="1">
        <v>39570</v>
      </c>
      <c r="G446" s="1" t="s">
        <v>23</v>
      </c>
      <c r="H446" s="1">
        <v>0.21582733800000001</v>
      </c>
      <c r="I446" s="1">
        <v>0.15467625900000001</v>
      </c>
      <c r="J446" s="1">
        <v>0.15827338099999999</v>
      </c>
      <c r="K446" s="1">
        <v>0.212230216</v>
      </c>
      <c r="L446" s="1">
        <v>0.25899280600000002</v>
      </c>
      <c r="M446" s="1" t="s">
        <v>16</v>
      </c>
      <c r="N446" s="1" t="s">
        <v>17</v>
      </c>
    </row>
    <row r="447" spans="1:14" ht="15.75" customHeight="1">
      <c r="A447" s="1">
        <v>0.78484210499999996</v>
      </c>
      <c r="B447" s="1">
        <v>1214</v>
      </c>
      <c r="C447" s="1">
        <v>26</v>
      </c>
      <c r="D447" s="1">
        <v>2318</v>
      </c>
      <c r="E447" s="1">
        <v>40640</v>
      </c>
      <c r="F447" s="1">
        <v>40640</v>
      </c>
      <c r="G447" s="1" t="s">
        <v>23</v>
      </c>
      <c r="H447" s="1">
        <v>0.120481928</v>
      </c>
      <c r="I447" s="1">
        <v>7.4698794999999998E-2</v>
      </c>
      <c r="J447" s="1">
        <v>0.16867469900000001</v>
      </c>
      <c r="K447" s="1">
        <v>0.187951807</v>
      </c>
      <c r="L447" s="1">
        <v>0.44819277099999999</v>
      </c>
      <c r="M447" s="1" t="s">
        <v>16</v>
      </c>
      <c r="N447" s="1" t="s">
        <v>17</v>
      </c>
    </row>
    <row r="448" spans="1:14" ht="15.75" customHeight="1">
      <c r="A448" s="1">
        <v>0.605143722</v>
      </c>
      <c r="B448" s="1">
        <v>1303</v>
      </c>
      <c r="C448" s="1">
        <v>27</v>
      </c>
      <c r="D448" s="1">
        <v>390</v>
      </c>
      <c r="E448" s="1">
        <v>50279</v>
      </c>
      <c r="F448" s="1">
        <v>50279</v>
      </c>
      <c r="G448" s="1" t="s">
        <v>23</v>
      </c>
      <c r="H448" s="1">
        <v>0.178217822</v>
      </c>
      <c r="I448" s="1">
        <v>0.188118812</v>
      </c>
      <c r="J448" s="1">
        <v>9.9009900999999997E-2</v>
      </c>
      <c r="K448" s="1">
        <v>0.158415842</v>
      </c>
      <c r="L448" s="1">
        <v>0.37623762399999999</v>
      </c>
      <c r="M448" s="1" t="s">
        <v>16</v>
      </c>
      <c r="N448" s="1" t="s">
        <v>17</v>
      </c>
    </row>
    <row r="449" spans="1:14" ht="15.75" customHeight="1">
      <c r="A449" s="1">
        <v>0.53998044999999995</v>
      </c>
      <c r="B449" s="1">
        <v>1154</v>
      </c>
      <c r="C449" s="1">
        <v>25</v>
      </c>
      <c r="D449" s="1">
        <v>1970</v>
      </c>
      <c r="E449" s="1">
        <v>52000</v>
      </c>
      <c r="F449" s="1">
        <v>52000</v>
      </c>
      <c r="G449" s="1" t="s">
        <v>23</v>
      </c>
      <c r="H449" s="1">
        <v>0.14010988999999999</v>
      </c>
      <c r="I449" s="1">
        <v>0.12087912100000001</v>
      </c>
      <c r="J449" s="1">
        <v>0.175824176</v>
      </c>
      <c r="K449" s="1">
        <v>0.15109890100000001</v>
      </c>
      <c r="L449" s="1">
        <v>0.412087912</v>
      </c>
      <c r="M449" s="1" t="s">
        <v>16</v>
      </c>
      <c r="N449" s="1" t="s">
        <v>17</v>
      </c>
    </row>
    <row r="450" spans="1:14" ht="15.75" customHeight="1">
      <c r="A450" s="1">
        <v>0.90408077399999998</v>
      </c>
      <c r="B450" s="1">
        <v>1034</v>
      </c>
      <c r="C450" s="1">
        <v>20</v>
      </c>
      <c r="D450" s="1">
        <v>1123</v>
      </c>
      <c r="E450" s="1">
        <v>26156</v>
      </c>
      <c r="F450" s="1">
        <v>26156</v>
      </c>
      <c r="G450" s="1" t="s">
        <v>23</v>
      </c>
      <c r="H450" s="1">
        <v>0.235294118</v>
      </c>
      <c r="I450" s="1">
        <v>0.12605042</v>
      </c>
      <c r="J450" s="1">
        <v>0.15966386599999999</v>
      </c>
      <c r="K450" s="1">
        <v>0.22268907600000001</v>
      </c>
      <c r="L450" s="1">
        <v>0.25630252100000001</v>
      </c>
      <c r="M450" s="1" t="s">
        <v>16</v>
      </c>
      <c r="N450" s="1" t="s">
        <v>17</v>
      </c>
    </row>
    <row r="451" spans="1:14" ht="15.75" customHeight="1">
      <c r="A451" s="1">
        <v>0.64006439699999995</v>
      </c>
      <c r="B451" s="1">
        <v>1327</v>
      </c>
      <c r="C451" s="1">
        <v>30</v>
      </c>
      <c r="D451" s="1">
        <v>1777</v>
      </c>
      <c r="E451" s="1">
        <v>60240</v>
      </c>
      <c r="F451" s="1">
        <v>60240</v>
      </c>
      <c r="G451" s="1" t="s">
        <v>23</v>
      </c>
      <c r="H451" s="1">
        <v>0.107734807</v>
      </c>
      <c r="I451" s="1">
        <v>9.3922651999999995E-2</v>
      </c>
      <c r="J451" s="1">
        <v>0.124309392</v>
      </c>
      <c r="K451" s="1">
        <v>0.14640884000000001</v>
      </c>
      <c r="L451" s="1">
        <v>0.52762430900000001</v>
      </c>
      <c r="M451" s="1" t="s">
        <v>16</v>
      </c>
      <c r="N451" s="1" t="s">
        <v>17</v>
      </c>
    </row>
    <row r="452" spans="1:14" ht="15.75" customHeight="1">
      <c r="A452" s="1">
        <v>0.83564356399999995</v>
      </c>
      <c r="B452" s="1">
        <v>1154</v>
      </c>
      <c r="C452" s="1">
        <v>26</v>
      </c>
      <c r="D452" s="1">
        <v>782</v>
      </c>
      <c r="E452" s="1">
        <v>32625</v>
      </c>
      <c r="F452" s="1">
        <v>32625</v>
      </c>
      <c r="G452" s="1" t="s">
        <v>23</v>
      </c>
      <c r="H452" s="1">
        <v>0.125</v>
      </c>
      <c r="I452" s="1">
        <v>8.3333332999999996E-2</v>
      </c>
      <c r="J452" s="1">
        <v>0.20833333300000001</v>
      </c>
      <c r="K452" s="1">
        <v>0.196428571</v>
      </c>
      <c r="L452" s="1">
        <v>0.38690476200000001</v>
      </c>
      <c r="M452" s="1" t="s">
        <v>16</v>
      </c>
      <c r="N452" s="1" t="s">
        <v>17</v>
      </c>
    </row>
    <row r="453" spans="1:14" ht="15.75" customHeight="1">
      <c r="A453" s="1">
        <v>0.97883197899999996</v>
      </c>
      <c r="B453" s="1">
        <v>1142</v>
      </c>
      <c r="C453" s="1">
        <v>23</v>
      </c>
      <c r="D453" s="1">
        <v>2320</v>
      </c>
      <c r="E453" s="1">
        <v>38160</v>
      </c>
      <c r="F453" s="1">
        <v>38160</v>
      </c>
      <c r="G453" s="1" t="s">
        <v>23</v>
      </c>
      <c r="H453" s="1">
        <v>0.18123667399999999</v>
      </c>
      <c r="I453" s="1">
        <v>0.14285714299999999</v>
      </c>
      <c r="J453" s="1">
        <v>0.14498933899999999</v>
      </c>
      <c r="K453" s="1">
        <v>0.168443497</v>
      </c>
      <c r="L453" s="1">
        <v>0.36247334799999997</v>
      </c>
      <c r="M453" s="1" t="s">
        <v>16</v>
      </c>
      <c r="N453" s="1" t="s">
        <v>17</v>
      </c>
    </row>
    <row r="454" spans="1:14" ht="15.75" customHeight="1">
      <c r="A454" s="1">
        <v>0.76892430300000003</v>
      </c>
      <c r="B454" s="1">
        <v>1151</v>
      </c>
      <c r="C454" s="1">
        <v>24</v>
      </c>
      <c r="D454" s="1">
        <v>1525</v>
      </c>
      <c r="E454" s="1">
        <v>41720</v>
      </c>
      <c r="F454" s="1">
        <v>41720</v>
      </c>
      <c r="G454" s="1" t="s">
        <v>23</v>
      </c>
      <c r="H454" s="1">
        <v>0.100436681</v>
      </c>
      <c r="I454" s="1">
        <v>0.10917030599999999</v>
      </c>
      <c r="J454" s="1">
        <v>0.12663755500000001</v>
      </c>
      <c r="K454" s="1">
        <v>0.200873362</v>
      </c>
      <c r="L454" s="1">
        <v>0.46288209600000002</v>
      </c>
      <c r="M454" s="1" t="s">
        <v>16</v>
      </c>
      <c r="N454" s="1" t="s">
        <v>17</v>
      </c>
    </row>
    <row r="455" spans="1:14" ht="15.75" customHeight="1">
      <c r="A455" s="1">
        <v>0.863901268</v>
      </c>
      <c r="B455" s="1">
        <v>1256</v>
      </c>
      <c r="C455" s="1">
        <v>28</v>
      </c>
      <c r="D455" s="1">
        <v>4742</v>
      </c>
      <c r="E455" s="1">
        <v>51340</v>
      </c>
      <c r="F455" s="1">
        <v>51340</v>
      </c>
      <c r="G455" s="1" t="s">
        <v>23</v>
      </c>
      <c r="H455" s="1">
        <v>0.124183007</v>
      </c>
      <c r="I455" s="1">
        <v>8.4967319999999999E-2</v>
      </c>
      <c r="J455" s="1">
        <v>0.101960784</v>
      </c>
      <c r="K455" s="1">
        <v>0.17124183000000001</v>
      </c>
      <c r="L455" s="1">
        <v>0.51764705899999996</v>
      </c>
      <c r="M455" s="1" t="s">
        <v>16</v>
      </c>
      <c r="N455" s="1" t="s">
        <v>17</v>
      </c>
    </row>
    <row r="456" spans="1:14" ht="15.75" customHeight="1">
      <c r="A456" s="1">
        <v>0.59098567800000001</v>
      </c>
      <c r="B456" s="1">
        <v>1120</v>
      </c>
      <c r="C456" s="1">
        <v>24</v>
      </c>
      <c r="D456" s="1">
        <v>1264</v>
      </c>
      <c r="E456" s="1">
        <v>41100</v>
      </c>
      <c r="F456" s="1">
        <v>41100</v>
      </c>
      <c r="G456" s="1" t="s">
        <v>23</v>
      </c>
      <c r="H456" s="1">
        <v>0.13483146100000001</v>
      </c>
      <c r="I456" s="1">
        <v>0.119850187</v>
      </c>
      <c r="J456" s="1">
        <v>0.13108614199999999</v>
      </c>
      <c r="K456" s="1">
        <v>0.18352059900000001</v>
      </c>
      <c r="L456" s="1">
        <v>0.43071161000000002</v>
      </c>
      <c r="M456" s="1" t="s">
        <v>16</v>
      </c>
      <c r="N456" s="1" t="s">
        <v>17</v>
      </c>
    </row>
    <row r="457" spans="1:14" ht="15.75" customHeight="1">
      <c r="A457" s="1">
        <v>0.84354669500000001</v>
      </c>
      <c r="B457" s="1">
        <v>1237</v>
      </c>
      <c r="C457" s="1">
        <v>27</v>
      </c>
      <c r="D457" s="1">
        <v>3589</v>
      </c>
      <c r="E457" s="1">
        <v>52309</v>
      </c>
      <c r="F457" s="1">
        <v>52309</v>
      </c>
      <c r="G457" s="1" t="s">
        <v>23</v>
      </c>
      <c r="H457" s="1">
        <v>0.14727722800000001</v>
      </c>
      <c r="I457" s="1">
        <v>0.108910891</v>
      </c>
      <c r="J457" s="1">
        <v>0.102722772</v>
      </c>
      <c r="K457" s="1">
        <v>0.143564356</v>
      </c>
      <c r="L457" s="1">
        <v>0.49752475200000001</v>
      </c>
      <c r="M457" s="1" t="s">
        <v>16</v>
      </c>
      <c r="N457" s="1" t="s">
        <v>17</v>
      </c>
    </row>
    <row r="458" spans="1:14" ht="15.75" customHeight="1">
      <c r="A458" s="1">
        <v>0.757886112</v>
      </c>
      <c r="B458" s="1">
        <v>1186</v>
      </c>
      <c r="C458" s="1">
        <v>25</v>
      </c>
      <c r="D458" s="1">
        <v>1581</v>
      </c>
      <c r="E458" s="1">
        <v>41414</v>
      </c>
      <c r="F458" s="1">
        <v>41414</v>
      </c>
      <c r="G458" s="1" t="s">
        <v>23</v>
      </c>
      <c r="H458" s="1">
        <v>0.127388535</v>
      </c>
      <c r="I458" s="1">
        <v>0.105095541</v>
      </c>
      <c r="J458" s="1">
        <v>0.15605095499999999</v>
      </c>
      <c r="K458" s="1">
        <v>0.207006369</v>
      </c>
      <c r="L458" s="1">
        <v>0.40445859899999997</v>
      </c>
      <c r="M458" s="1" t="s">
        <v>16</v>
      </c>
      <c r="N458" s="1" t="s">
        <v>17</v>
      </c>
    </row>
    <row r="459" spans="1:14" ht="15.75" customHeight="1">
      <c r="A459" s="1">
        <v>0.78707733499999999</v>
      </c>
      <c r="B459" s="1">
        <v>1211</v>
      </c>
      <c r="C459" s="1">
        <v>25</v>
      </c>
      <c r="D459" s="1">
        <v>2120</v>
      </c>
      <c r="E459" s="1">
        <v>57400</v>
      </c>
      <c r="F459" s="1">
        <v>57400</v>
      </c>
      <c r="G459" s="1" t="s">
        <v>23</v>
      </c>
      <c r="H459" s="1">
        <v>0.149082569</v>
      </c>
      <c r="I459" s="1">
        <v>7.7981650999999999E-2</v>
      </c>
      <c r="J459" s="1">
        <v>0.112385321</v>
      </c>
      <c r="K459" s="1">
        <v>0.169724771</v>
      </c>
      <c r="L459" s="1">
        <v>0.49082568799999998</v>
      </c>
      <c r="M459" s="1" t="s">
        <v>16</v>
      </c>
      <c r="N459" s="1" t="s">
        <v>17</v>
      </c>
    </row>
    <row r="460" spans="1:14" ht="15.75" customHeight="1">
      <c r="A460" s="1">
        <v>6.9433751000000002E-2</v>
      </c>
      <c r="B460" s="1">
        <v>1527</v>
      </c>
      <c r="C460" s="1">
        <v>34</v>
      </c>
      <c r="D460" s="1">
        <v>1627</v>
      </c>
      <c r="E460" s="1">
        <v>62412</v>
      </c>
      <c r="F460" s="1">
        <v>62412</v>
      </c>
      <c r="G460" s="1" t="s">
        <v>23</v>
      </c>
      <c r="H460" s="1">
        <v>0.282258065</v>
      </c>
      <c r="I460" s="1">
        <v>0.14516129</v>
      </c>
      <c r="J460" s="1">
        <v>0.25</v>
      </c>
      <c r="K460" s="1">
        <v>7.2580644999999999E-2</v>
      </c>
      <c r="L460" s="1">
        <v>0.25</v>
      </c>
      <c r="M460" s="1" t="s">
        <v>16</v>
      </c>
      <c r="N460" s="1" t="s">
        <v>17</v>
      </c>
    </row>
    <row r="461" spans="1:14" ht="15.75" customHeight="1">
      <c r="A461" s="1">
        <v>0.86143984200000001</v>
      </c>
      <c r="B461" s="1">
        <v>1259</v>
      </c>
      <c r="C461" s="1">
        <v>30</v>
      </c>
      <c r="D461" s="1">
        <v>3708</v>
      </c>
      <c r="E461" s="1">
        <v>45683</v>
      </c>
      <c r="F461" s="1">
        <v>45683</v>
      </c>
      <c r="G461" s="1" t="s">
        <v>23</v>
      </c>
      <c r="H461" s="1">
        <v>0.18142857100000001</v>
      </c>
      <c r="I461" s="1">
        <v>0.11857142900000001</v>
      </c>
      <c r="J461" s="1">
        <v>0.14714285699999999</v>
      </c>
      <c r="K461" s="1">
        <v>0.145714286</v>
      </c>
      <c r="L461" s="1">
        <v>0.40714285700000002</v>
      </c>
      <c r="M461" s="1" t="s">
        <v>16</v>
      </c>
      <c r="N461" s="1" t="s">
        <v>17</v>
      </c>
    </row>
    <row r="462" spans="1:14" ht="15.75" customHeight="1">
      <c r="A462" s="1">
        <v>0.87365669499999998</v>
      </c>
      <c r="B462" s="1">
        <v>1304</v>
      </c>
      <c r="C462" s="1">
        <v>31</v>
      </c>
      <c r="D462" s="1">
        <v>1477</v>
      </c>
      <c r="E462" s="1">
        <v>59196</v>
      </c>
      <c r="F462" s="1">
        <v>59196</v>
      </c>
      <c r="G462" s="1" t="s">
        <v>23</v>
      </c>
      <c r="H462" s="1">
        <v>0.123028391</v>
      </c>
      <c r="I462" s="1">
        <v>8.8328076000000005E-2</v>
      </c>
      <c r="J462" s="1">
        <v>8.8328076000000005E-2</v>
      </c>
      <c r="K462" s="1">
        <v>0.16403785500000001</v>
      </c>
      <c r="L462" s="1">
        <v>0.53627760300000005</v>
      </c>
      <c r="M462" s="1" t="s">
        <v>16</v>
      </c>
      <c r="N462" s="1" t="s">
        <v>17</v>
      </c>
    </row>
    <row r="463" spans="1:14" ht="15.75" customHeight="1">
      <c r="A463" s="1">
        <v>0.91694352199999996</v>
      </c>
      <c r="B463" s="1">
        <v>1114</v>
      </c>
      <c r="C463" s="1">
        <v>21</v>
      </c>
      <c r="D463" s="1">
        <v>1081</v>
      </c>
      <c r="E463" s="1">
        <v>29460</v>
      </c>
      <c r="F463" s="1">
        <v>29460</v>
      </c>
      <c r="G463" s="1" t="s">
        <v>23</v>
      </c>
      <c r="H463" s="1">
        <v>0.14545454499999999</v>
      </c>
      <c r="I463" s="1">
        <v>0.14909090899999999</v>
      </c>
      <c r="J463" s="1">
        <v>0.17818181799999999</v>
      </c>
      <c r="K463" s="1">
        <v>0.24363636399999999</v>
      </c>
      <c r="L463" s="1">
        <v>0.28363636399999997</v>
      </c>
      <c r="M463" s="1" t="s">
        <v>16</v>
      </c>
      <c r="N463" s="1" t="s">
        <v>17</v>
      </c>
    </row>
    <row r="464" spans="1:14" ht="15.75" customHeight="1">
      <c r="A464" s="1">
        <v>0.91456189600000004</v>
      </c>
      <c r="B464" s="1">
        <v>1134</v>
      </c>
      <c r="C464" s="1">
        <v>22</v>
      </c>
      <c r="D464" s="1">
        <v>1893</v>
      </c>
      <c r="E464" s="1">
        <v>42286</v>
      </c>
      <c r="F464" s="1">
        <v>42286</v>
      </c>
      <c r="G464" s="1" t="s">
        <v>23</v>
      </c>
      <c r="H464" s="1">
        <v>0.225888325</v>
      </c>
      <c r="I464" s="1">
        <v>0.13451776600000001</v>
      </c>
      <c r="J464" s="1">
        <v>0.149746193</v>
      </c>
      <c r="K464" s="1">
        <v>0.175126904</v>
      </c>
      <c r="L464" s="1">
        <v>0.31472081200000002</v>
      </c>
      <c r="M464" s="1" t="s">
        <v>16</v>
      </c>
      <c r="N464" s="1" t="s">
        <v>17</v>
      </c>
    </row>
    <row r="465" spans="1:14" ht="15.75" customHeight="1">
      <c r="A465" s="1">
        <v>0.94202311000000005</v>
      </c>
      <c r="B465" s="1">
        <v>1135</v>
      </c>
      <c r="C465" s="1">
        <v>25</v>
      </c>
      <c r="D465" s="1">
        <v>3187</v>
      </c>
      <c r="E465" s="1">
        <v>24606</v>
      </c>
      <c r="F465" s="1">
        <v>24606</v>
      </c>
      <c r="G465" s="1" t="s">
        <v>23</v>
      </c>
      <c r="H465" s="1">
        <v>0.18738738699999999</v>
      </c>
      <c r="I465" s="1">
        <v>0.14594594599999999</v>
      </c>
      <c r="J465" s="1">
        <v>0.15315315299999999</v>
      </c>
      <c r="K465" s="1">
        <v>0.156756757</v>
      </c>
      <c r="L465" s="1">
        <v>0.35675675699999998</v>
      </c>
      <c r="M465" s="1" t="s">
        <v>16</v>
      </c>
      <c r="N465" s="1" t="s">
        <v>17</v>
      </c>
    </row>
    <row r="466" spans="1:14" ht="15.75" customHeight="1">
      <c r="A466" s="1">
        <v>0.65653271599999996</v>
      </c>
      <c r="B466" s="1">
        <v>1263</v>
      </c>
      <c r="C466" s="1">
        <v>30</v>
      </c>
      <c r="D466" s="1">
        <v>3236</v>
      </c>
      <c r="E466" s="1">
        <v>51169</v>
      </c>
      <c r="F466" s="1">
        <v>51169</v>
      </c>
      <c r="G466" s="1" t="s">
        <v>23</v>
      </c>
      <c r="H466" s="1">
        <v>7.9310345000000004E-2</v>
      </c>
      <c r="I466" s="1">
        <v>7.0689655000000004E-2</v>
      </c>
      <c r="J466" s="1">
        <v>9.4827586000000005E-2</v>
      </c>
      <c r="K466" s="1">
        <v>0.13965517199999999</v>
      </c>
      <c r="L466" s="1">
        <v>0.61551724100000005</v>
      </c>
      <c r="M466" s="1" t="s">
        <v>16</v>
      </c>
      <c r="N466" s="1" t="s">
        <v>17</v>
      </c>
    </row>
    <row r="467" spans="1:14" ht="15.75" customHeight="1">
      <c r="A467" s="1">
        <v>0.79941277600000005</v>
      </c>
      <c r="B467" s="1">
        <v>1107</v>
      </c>
      <c r="C467" s="1">
        <v>23</v>
      </c>
      <c r="D467" s="1">
        <v>3913</v>
      </c>
      <c r="E467" s="1">
        <v>40408</v>
      </c>
      <c r="F467" s="1">
        <v>40408</v>
      </c>
      <c r="G467" s="1" t="s">
        <v>23</v>
      </c>
      <c r="H467" s="1">
        <v>0.17804877999999999</v>
      </c>
      <c r="I467" s="1">
        <v>0.117073171</v>
      </c>
      <c r="J467" s="1">
        <v>0.15</v>
      </c>
      <c r="K467" s="1">
        <v>0.151219512</v>
      </c>
      <c r="L467" s="1">
        <v>0.40365853699999998</v>
      </c>
      <c r="M467" s="1" t="s">
        <v>16</v>
      </c>
      <c r="N467" s="1" t="s">
        <v>17</v>
      </c>
    </row>
    <row r="468" spans="1:14" ht="15.75" customHeight="1">
      <c r="A468" s="1">
        <v>0.48720827700000002</v>
      </c>
      <c r="B468" s="1">
        <v>1342</v>
      </c>
      <c r="C468" s="1">
        <v>30</v>
      </c>
      <c r="D468" s="1">
        <v>4170</v>
      </c>
      <c r="E468" s="1">
        <v>60848</v>
      </c>
      <c r="F468" s="1">
        <v>60848</v>
      </c>
      <c r="G468" s="1" t="s">
        <v>23</v>
      </c>
      <c r="H468" s="1">
        <v>5.1930759E-2</v>
      </c>
      <c r="I468" s="1">
        <v>5.3262317000000003E-2</v>
      </c>
      <c r="J468" s="1">
        <v>7.9893475000000005E-2</v>
      </c>
      <c r="K468" s="1">
        <v>0.118508655</v>
      </c>
      <c r="L468" s="1">
        <v>0.69640479399999999</v>
      </c>
      <c r="M468" s="1" t="s">
        <v>16</v>
      </c>
      <c r="N468" s="1" t="s">
        <v>17</v>
      </c>
    </row>
    <row r="469" spans="1:14" ht="15.75" customHeight="1">
      <c r="A469" s="1">
        <v>0.13808588299999999</v>
      </c>
      <c r="B469" s="1">
        <v>1480</v>
      </c>
      <c r="C469" s="1">
        <v>32</v>
      </c>
      <c r="D469" s="1">
        <v>2090</v>
      </c>
      <c r="E469" s="1">
        <v>59760</v>
      </c>
      <c r="F469" s="1">
        <v>59760</v>
      </c>
      <c r="G469" s="1" t="s">
        <v>23</v>
      </c>
      <c r="H469" s="1">
        <v>0.25287356300000002</v>
      </c>
      <c r="I469" s="1">
        <v>0.126436782</v>
      </c>
      <c r="J469" s="1">
        <v>0.10344827600000001</v>
      </c>
      <c r="K469" s="1">
        <v>9.1954022999999996E-2</v>
      </c>
      <c r="L469" s="1">
        <v>0.42528735600000001</v>
      </c>
      <c r="M469" s="1" t="s">
        <v>16</v>
      </c>
      <c r="N469" s="1" t="s">
        <v>17</v>
      </c>
    </row>
    <row r="470" spans="1:14" ht="15.75" customHeight="1">
      <c r="A470" s="1">
        <v>0.87776159300000001</v>
      </c>
      <c r="B470" s="1">
        <v>1228</v>
      </c>
      <c r="C470" s="1">
        <v>28</v>
      </c>
      <c r="D470" s="1">
        <v>3957</v>
      </c>
      <c r="E470" s="1">
        <v>42666</v>
      </c>
      <c r="F470" s="1">
        <v>42666</v>
      </c>
      <c r="G470" s="1" t="s">
        <v>23</v>
      </c>
      <c r="H470" s="1">
        <v>0.103846154</v>
      </c>
      <c r="I470" s="1">
        <v>6.0256410000000003E-2</v>
      </c>
      <c r="J470" s="1">
        <v>0.105128205</v>
      </c>
      <c r="K470" s="1">
        <v>0.133333333</v>
      </c>
      <c r="L470" s="1">
        <v>0.59743589699999999</v>
      </c>
      <c r="M470" s="1" t="s">
        <v>16</v>
      </c>
      <c r="N470" s="1" t="s">
        <v>17</v>
      </c>
    </row>
    <row r="471" spans="1:14" ht="15.75" customHeight="1">
      <c r="A471" s="1">
        <v>0.69913989799999998</v>
      </c>
      <c r="B471" s="1">
        <v>1236</v>
      </c>
      <c r="C471" s="1">
        <v>30</v>
      </c>
      <c r="D471" s="1">
        <v>2102</v>
      </c>
      <c r="E471" s="1">
        <v>47930</v>
      </c>
      <c r="F471" s="1">
        <v>47930</v>
      </c>
      <c r="G471" s="1" t="s">
        <v>23</v>
      </c>
      <c r="H471" s="1">
        <v>7.4309978999999998E-2</v>
      </c>
      <c r="I471" s="1">
        <v>4.8832272000000003E-2</v>
      </c>
      <c r="J471" s="1">
        <v>0.106157113</v>
      </c>
      <c r="K471" s="1">
        <v>0.157112527</v>
      </c>
      <c r="L471" s="1">
        <v>0.61358811000000002</v>
      </c>
      <c r="M471" s="1" t="s">
        <v>16</v>
      </c>
      <c r="N471" s="1" t="s">
        <v>17</v>
      </c>
    </row>
    <row r="472" spans="1:14" ht="15.75" customHeight="1">
      <c r="A472" s="1">
        <v>0.528106509</v>
      </c>
      <c r="B472" s="1">
        <v>1190</v>
      </c>
      <c r="C472" s="1">
        <v>24</v>
      </c>
      <c r="D472" s="1">
        <v>3080</v>
      </c>
      <c r="E472" s="1">
        <v>33580</v>
      </c>
      <c r="F472" s="1">
        <v>33580</v>
      </c>
      <c r="G472" s="1" t="s">
        <v>23</v>
      </c>
      <c r="H472" s="1">
        <v>0.12559241700000001</v>
      </c>
      <c r="I472" s="1">
        <v>0.10426540300000001</v>
      </c>
      <c r="J472" s="1">
        <v>0.158767773</v>
      </c>
      <c r="K472" s="1">
        <v>0.20142180100000001</v>
      </c>
      <c r="L472" s="1">
        <v>0.40995260700000002</v>
      </c>
      <c r="M472" s="1" t="s">
        <v>16</v>
      </c>
      <c r="N472" s="1" t="s">
        <v>17</v>
      </c>
    </row>
    <row r="473" spans="1:14" ht="15.75" customHeight="1">
      <c r="A473" s="1">
        <v>0.76086956500000003</v>
      </c>
      <c r="B473" s="1">
        <v>1056</v>
      </c>
      <c r="C473" s="1">
        <v>20</v>
      </c>
      <c r="D473" s="1">
        <v>2716</v>
      </c>
      <c r="E473" s="1">
        <v>31030</v>
      </c>
      <c r="F473" s="1">
        <v>31030</v>
      </c>
      <c r="G473" s="1" t="s">
        <v>23</v>
      </c>
      <c r="H473" s="1">
        <v>0.23412698400000001</v>
      </c>
      <c r="I473" s="1">
        <v>0.15476190500000001</v>
      </c>
      <c r="J473" s="1">
        <v>0.17063492099999999</v>
      </c>
      <c r="K473" s="1">
        <v>0.16468253999999999</v>
      </c>
      <c r="L473" s="1">
        <v>0.27579365099999997</v>
      </c>
      <c r="M473" s="1" t="s">
        <v>16</v>
      </c>
      <c r="N473" s="1" t="s">
        <v>17</v>
      </c>
    </row>
    <row r="474" spans="1:14" ht="15.75" customHeight="1">
      <c r="A474" s="1">
        <v>0.67298402099999999</v>
      </c>
      <c r="B474" s="1">
        <v>910</v>
      </c>
      <c r="C474" s="1">
        <v>16</v>
      </c>
      <c r="D474" s="1">
        <v>1573</v>
      </c>
      <c r="E474" s="1">
        <v>18000</v>
      </c>
      <c r="F474" s="1">
        <v>18000</v>
      </c>
      <c r="G474" s="1" t="s">
        <v>23</v>
      </c>
      <c r="H474" s="1">
        <v>0.53869047599999997</v>
      </c>
      <c r="I474" s="1">
        <v>0.25595238100000001</v>
      </c>
      <c r="J474" s="1">
        <v>0.10714285699999999</v>
      </c>
      <c r="K474" s="1">
        <v>5.0595238000000001E-2</v>
      </c>
      <c r="L474" s="1">
        <v>4.7619047999999997E-2</v>
      </c>
      <c r="M474" s="1" t="s">
        <v>16</v>
      </c>
      <c r="N474" s="1" t="s">
        <v>17</v>
      </c>
    </row>
    <row r="475" spans="1:14" ht="15.75" customHeight="1">
      <c r="A475" s="1">
        <v>1</v>
      </c>
      <c r="B475" s="1">
        <v>1106</v>
      </c>
      <c r="C475" s="1">
        <v>21</v>
      </c>
      <c r="D475" s="1">
        <v>771</v>
      </c>
      <c r="E475" s="1">
        <v>27870</v>
      </c>
      <c r="F475" s="1">
        <v>27870</v>
      </c>
      <c r="G475" s="1" t="s">
        <v>23</v>
      </c>
      <c r="H475" s="1">
        <v>0.18055555600000001</v>
      </c>
      <c r="I475" s="1">
        <v>0.159722222</v>
      </c>
      <c r="J475" s="1">
        <v>0.25</v>
      </c>
      <c r="K475" s="1">
        <v>0.17361111100000001</v>
      </c>
      <c r="L475" s="1">
        <v>0.23611111100000001</v>
      </c>
      <c r="M475" s="1" t="s">
        <v>16</v>
      </c>
      <c r="N475" s="1" t="s">
        <v>17</v>
      </c>
    </row>
    <row r="476" spans="1:14" ht="15.75" customHeight="1">
      <c r="A476" s="1">
        <v>0.64003044099999995</v>
      </c>
      <c r="B476" s="1">
        <v>1124</v>
      </c>
      <c r="C476" s="1">
        <v>23</v>
      </c>
      <c r="D476" s="1">
        <v>845</v>
      </c>
      <c r="E476" s="1">
        <v>23096</v>
      </c>
      <c r="F476" s="1">
        <v>23096</v>
      </c>
      <c r="G476" s="1" t="s">
        <v>23</v>
      </c>
      <c r="H476" s="1">
        <v>0.23636363599999999</v>
      </c>
      <c r="I476" s="1">
        <v>0.175757576</v>
      </c>
      <c r="J476" s="1">
        <v>0.13939393899999999</v>
      </c>
      <c r="K476" s="1">
        <v>0.16363636400000001</v>
      </c>
      <c r="L476" s="1">
        <v>0.28484848499999998</v>
      </c>
      <c r="M476" s="1" t="s">
        <v>16</v>
      </c>
      <c r="N476" s="1" t="s">
        <v>17</v>
      </c>
    </row>
    <row r="477" spans="1:14" ht="15.75" customHeight="1">
      <c r="A477" s="1">
        <v>0.52569593100000001</v>
      </c>
      <c r="B477" s="1">
        <v>1364</v>
      </c>
      <c r="C477" s="1">
        <v>30</v>
      </c>
      <c r="D477" s="1">
        <v>2322</v>
      </c>
      <c r="E477" s="1">
        <v>58312</v>
      </c>
      <c r="F477" s="1">
        <v>58312</v>
      </c>
      <c r="G477" s="1" t="s">
        <v>23</v>
      </c>
      <c r="H477" s="1">
        <v>0.105660377</v>
      </c>
      <c r="I477" s="1">
        <v>8.3018867999999996E-2</v>
      </c>
      <c r="J477" s="1">
        <v>0.135849057</v>
      </c>
      <c r="K477" s="1">
        <v>0.22264150899999999</v>
      </c>
      <c r="L477" s="1">
        <v>0.45283018899999999</v>
      </c>
      <c r="M477" s="1" t="s">
        <v>16</v>
      </c>
      <c r="N477" s="1" t="s">
        <v>17</v>
      </c>
    </row>
    <row r="478" spans="1:14" ht="15.75" customHeight="1">
      <c r="A478" s="1">
        <v>0.74795034000000005</v>
      </c>
      <c r="B478" s="1">
        <v>1008</v>
      </c>
      <c r="C478" s="1">
        <v>20</v>
      </c>
      <c r="D478" s="1">
        <v>1462</v>
      </c>
      <c r="E478" s="1">
        <v>30050</v>
      </c>
      <c r="F478" s="1">
        <v>30050</v>
      </c>
      <c r="G478" s="1" t="s">
        <v>23</v>
      </c>
      <c r="H478" s="1">
        <v>0.29213483099999998</v>
      </c>
      <c r="I478" s="1">
        <v>0.18539325800000001</v>
      </c>
      <c r="J478" s="1">
        <v>0.16292134799999999</v>
      </c>
      <c r="K478" s="1">
        <v>0.12640449400000001</v>
      </c>
      <c r="L478" s="1">
        <v>0.23314606700000001</v>
      </c>
      <c r="M478" s="1" t="s">
        <v>16</v>
      </c>
      <c r="N478" s="1" t="s">
        <v>17</v>
      </c>
    </row>
    <row r="479" spans="1:14" ht="15.75" customHeight="1">
      <c r="A479" s="1">
        <v>0.62781375299999997</v>
      </c>
      <c r="B479" s="1">
        <v>1176</v>
      </c>
      <c r="C479" s="1">
        <v>25</v>
      </c>
      <c r="D479" s="1">
        <v>1719</v>
      </c>
      <c r="E479" s="1">
        <v>24650</v>
      </c>
      <c r="F479" s="1">
        <v>24650</v>
      </c>
      <c r="G479" s="1" t="s">
        <v>23</v>
      </c>
      <c r="H479" s="1">
        <v>0.21238938099999999</v>
      </c>
      <c r="I479" s="1">
        <v>0.123893805</v>
      </c>
      <c r="J479" s="1">
        <v>0.20058997100000001</v>
      </c>
      <c r="K479" s="1">
        <v>0.21533923299999999</v>
      </c>
      <c r="L479" s="1">
        <v>0.24778761099999999</v>
      </c>
      <c r="M479" s="1" t="s">
        <v>16</v>
      </c>
      <c r="N479" s="1" t="s">
        <v>17</v>
      </c>
    </row>
    <row r="480" spans="1:14" ht="15.75" customHeight="1">
      <c r="A480" s="1">
        <v>0.72342959200000001</v>
      </c>
      <c r="B480" s="1">
        <v>1214</v>
      </c>
      <c r="C480" s="1">
        <v>25</v>
      </c>
      <c r="D480" s="1">
        <v>862</v>
      </c>
      <c r="E480" s="1">
        <v>43300</v>
      </c>
      <c r="F480" s="1">
        <v>43300</v>
      </c>
      <c r="G480" s="1" t="s">
        <v>23</v>
      </c>
      <c r="H480" s="1">
        <v>0.203488372</v>
      </c>
      <c r="I480" s="1">
        <v>0.18023255799999999</v>
      </c>
      <c r="J480" s="1">
        <v>0.186046512</v>
      </c>
      <c r="K480" s="1">
        <v>0.186046512</v>
      </c>
      <c r="L480" s="1">
        <v>0.24418604699999999</v>
      </c>
      <c r="M480" s="1" t="s">
        <v>16</v>
      </c>
      <c r="N480" s="1" t="s">
        <v>17</v>
      </c>
    </row>
    <row r="481" spans="1:14" ht="15.75" customHeight="1">
      <c r="A481" s="1">
        <v>0.58594310299999997</v>
      </c>
      <c r="B481" s="1">
        <v>1297</v>
      </c>
      <c r="C481" s="1">
        <v>28</v>
      </c>
      <c r="D481" s="1">
        <v>1873</v>
      </c>
      <c r="E481" s="1">
        <v>54100</v>
      </c>
      <c r="F481" s="1">
        <v>54100</v>
      </c>
      <c r="G481" s="1" t="s">
        <v>23</v>
      </c>
      <c r="H481" s="1">
        <v>0.120622568</v>
      </c>
      <c r="I481" s="1">
        <v>7.3929961000000002E-2</v>
      </c>
      <c r="J481" s="1">
        <v>0.112840467</v>
      </c>
      <c r="K481" s="1">
        <v>0.163424125</v>
      </c>
      <c r="L481" s="1">
        <v>0.52918287900000005</v>
      </c>
      <c r="M481" s="1" t="s">
        <v>16</v>
      </c>
      <c r="N481" s="1" t="s">
        <v>17</v>
      </c>
    </row>
    <row r="482" spans="1:14" ht="15.75" customHeight="1">
      <c r="A482" s="1">
        <v>0.59249249199999998</v>
      </c>
      <c r="B482" s="1">
        <v>1187</v>
      </c>
      <c r="C482" s="1">
        <v>24</v>
      </c>
      <c r="D482" s="1">
        <v>1818</v>
      </c>
      <c r="E482" s="1">
        <v>39190</v>
      </c>
      <c r="F482" s="1">
        <v>39190</v>
      </c>
      <c r="G482" s="1" t="s">
        <v>23</v>
      </c>
      <c r="H482" s="1">
        <v>0.111821086</v>
      </c>
      <c r="I482" s="1">
        <v>6.0702875000000003E-2</v>
      </c>
      <c r="J482" s="1">
        <v>0.156549521</v>
      </c>
      <c r="K482" s="1">
        <v>0.169329073</v>
      </c>
      <c r="L482" s="1">
        <v>0.50159744399999995</v>
      </c>
      <c r="M482" s="1" t="s">
        <v>16</v>
      </c>
      <c r="N482" s="1" t="s">
        <v>17</v>
      </c>
    </row>
    <row r="483" spans="1:14" ht="15.75" customHeight="1">
      <c r="A483" s="1">
        <v>0.48139534899999997</v>
      </c>
      <c r="B483" s="1">
        <v>1120</v>
      </c>
      <c r="C483" s="1">
        <v>22</v>
      </c>
      <c r="D483" s="1">
        <v>702</v>
      </c>
      <c r="E483" s="1">
        <v>33100</v>
      </c>
      <c r="F483" s="1">
        <v>33100</v>
      </c>
      <c r="G483" s="1" t="s">
        <v>23</v>
      </c>
      <c r="H483" s="1">
        <v>0.17117117100000001</v>
      </c>
      <c r="I483" s="1">
        <v>0.17117117100000001</v>
      </c>
      <c r="J483" s="1">
        <v>0.17117117100000001</v>
      </c>
      <c r="K483" s="1">
        <v>0.225225225</v>
      </c>
      <c r="L483" s="1">
        <v>0.26126126100000002</v>
      </c>
      <c r="M483" s="1" t="s">
        <v>16</v>
      </c>
      <c r="N483" s="1" t="s">
        <v>17</v>
      </c>
    </row>
    <row r="484" spans="1:14" ht="15.75" customHeight="1">
      <c r="A484" s="1">
        <v>0.67763157900000004</v>
      </c>
      <c r="B484" s="1">
        <v>1050</v>
      </c>
      <c r="C484" s="1">
        <v>20</v>
      </c>
      <c r="D484" s="1">
        <v>673</v>
      </c>
      <c r="E484" s="1">
        <v>13846</v>
      </c>
      <c r="F484" s="1">
        <v>13846</v>
      </c>
      <c r="G484" s="1" t="s">
        <v>23</v>
      </c>
      <c r="H484" s="1">
        <v>0.44</v>
      </c>
      <c r="I484" s="1">
        <v>0.2</v>
      </c>
      <c r="J484" s="1">
        <v>0.12</v>
      </c>
      <c r="K484" s="1">
        <v>0.08</v>
      </c>
      <c r="L484" s="1">
        <v>0.16</v>
      </c>
      <c r="M484" s="1" t="s">
        <v>16</v>
      </c>
      <c r="N484" s="1" t="s">
        <v>17</v>
      </c>
    </row>
    <row r="485" spans="1:14" ht="15.75" customHeight="1">
      <c r="A485" s="1">
        <v>0.96357541899999999</v>
      </c>
      <c r="B485" s="1">
        <v>1277</v>
      </c>
      <c r="C485" s="1">
        <v>27</v>
      </c>
      <c r="D485" s="1">
        <v>7306</v>
      </c>
      <c r="E485" s="1">
        <v>41320</v>
      </c>
      <c r="F485" s="1">
        <v>41320</v>
      </c>
      <c r="G485" s="1" t="s">
        <v>23</v>
      </c>
      <c r="H485" s="1">
        <v>0.21436343899999999</v>
      </c>
      <c r="I485" s="1">
        <v>0.12078346</v>
      </c>
      <c r="J485" s="1">
        <v>0.122959739</v>
      </c>
      <c r="K485" s="1">
        <v>0.15560391700000001</v>
      </c>
      <c r="L485" s="1">
        <v>0.38628944500000001</v>
      </c>
      <c r="M485" s="1" t="s">
        <v>16</v>
      </c>
      <c r="N485" s="1" t="s">
        <v>17</v>
      </c>
    </row>
    <row r="486" spans="1:14" ht="15.75" customHeight="1">
      <c r="A486" s="1">
        <v>0.97166968099999995</v>
      </c>
      <c r="B486" s="1">
        <v>1035</v>
      </c>
      <c r="C486" s="1">
        <v>20</v>
      </c>
      <c r="D486" s="1">
        <v>1671</v>
      </c>
      <c r="E486" s="1">
        <v>18168</v>
      </c>
      <c r="F486" s="1">
        <v>18168</v>
      </c>
      <c r="G486" s="1" t="s">
        <v>23</v>
      </c>
      <c r="H486" s="1">
        <v>0.47706421999999998</v>
      </c>
      <c r="I486" s="1">
        <v>0.155963303</v>
      </c>
      <c r="J486" s="1">
        <v>0.17889908299999999</v>
      </c>
      <c r="K486" s="1">
        <v>9.6330275000000007E-2</v>
      </c>
      <c r="L486" s="1">
        <v>9.1743118999999998E-2</v>
      </c>
      <c r="M486" s="1" t="s">
        <v>16</v>
      </c>
      <c r="N486" s="1" t="s">
        <v>17</v>
      </c>
    </row>
    <row r="487" spans="1:14" ht="15.75" customHeight="1">
      <c r="A487" s="1">
        <v>0.68271481099999998</v>
      </c>
      <c r="B487" s="1">
        <v>1111</v>
      </c>
      <c r="C487" s="1">
        <v>22</v>
      </c>
      <c r="D487" s="1">
        <v>1374</v>
      </c>
      <c r="E487" s="1">
        <v>34700</v>
      </c>
      <c r="F487" s="1">
        <v>34700</v>
      </c>
      <c r="G487" s="1" t="s">
        <v>23</v>
      </c>
      <c r="H487" s="1">
        <v>0.35944700499999999</v>
      </c>
      <c r="I487" s="1">
        <v>0.156682028</v>
      </c>
      <c r="J487" s="1">
        <v>0.165898618</v>
      </c>
      <c r="K487" s="1">
        <v>0.13824884800000001</v>
      </c>
      <c r="L487" s="1">
        <v>0.17972350200000001</v>
      </c>
      <c r="M487" s="1" t="s">
        <v>16</v>
      </c>
      <c r="N487" s="1" t="s">
        <v>17</v>
      </c>
    </row>
    <row r="488" spans="1:14" ht="15.75" customHeight="1">
      <c r="A488" s="1">
        <v>0.88416289599999998</v>
      </c>
      <c r="B488" s="1">
        <v>1069</v>
      </c>
      <c r="C488" s="1">
        <v>20</v>
      </c>
      <c r="D488" s="1">
        <v>953</v>
      </c>
      <c r="E488" s="1">
        <v>37300</v>
      </c>
      <c r="F488" s="1">
        <v>37300</v>
      </c>
      <c r="G488" s="1" t="s">
        <v>23</v>
      </c>
      <c r="H488" s="1">
        <v>0.34285714299999998</v>
      </c>
      <c r="I488" s="1">
        <v>0.26666666700000002</v>
      </c>
      <c r="J488" s="1">
        <v>0.123809524</v>
      </c>
      <c r="K488" s="1">
        <v>0.14285714299999999</v>
      </c>
      <c r="L488" s="1">
        <v>0.123809524</v>
      </c>
      <c r="M488" s="1" t="s">
        <v>16</v>
      </c>
      <c r="N488" s="1" t="s">
        <v>17</v>
      </c>
    </row>
    <row r="489" spans="1:14" ht="15.75" customHeight="1">
      <c r="A489" s="1">
        <v>0.66635249799999996</v>
      </c>
      <c r="B489" s="1">
        <v>1248</v>
      </c>
      <c r="C489" s="1">
        <v>26</v>
      </c>
      <c r="D489" s="1">
        <v>3021</v>
      </c>
      <c r="E489" s="1">
        <v>38824</v>
      </c>
      <c r="F489" s="1">
        <v>38824</v>
      </c>
      <c r="G489" s="1" t="s">
        <v>23</v>
      </c>
      <c r="H489" s="1">
        <v>0.20505618</v>
      </c>
      <c r="I489" s="1">
        <v>0.12640449400000001</v>
      </c>
      <c r="J489" s="1">
        <v>0.176966292</v>
      </c>
      <c r="K489" s="1">
        <v>0.137640449</v>
      </c>
      <c r="L489" s="1">
        <v>0.35393258399999999</v>
      </c>
      <c r="M489" s="1" t="s">
        <v>16</v>
      </c>
      <c r="N489" s="1" t="s">
        <v>17</v>
      </c>
    </row>
    <row r="490" spans="1:14" ht="15.75" customHeight="1">
      <c r="A490" s="1">
        <v>0.57905286899999997</v>
      </c>
      <c r="B490" s="1">
        <v>1236</v>
      </c>
      <c r="C490" s="1">
        <v>22</v>
      </c>
      <c r="D490" s="1">
        <v>950</v>
      </c>
      <c r="E490" s="1">
        <v>24298</v>
      </c>
      <c r="F490" s="1">
        <v>24298</v>
      </c>
      <c r="G490" s="1" t="s">
        <v>23</v>
      </c>
      <c r="H490" s="1">
        <v>0.43783783799999998</v>
      </c>
      <c r="I490" s="1">
        <v>0.13513513499999999</v>
      </c>
      <c r="J490" s="1">
        <v>0.18378378400000001</v>
      </c>
      <c r="K490" s="1">
        <v>0.20540540500000001</v>
      </c>
      <c r="L490" s="1">
        <v>3.7837837999999999E-2</v>
      </c>
      <c r="M490" s="1" t="s">
        <v>16</v>
      </c>
      <c r="N490" s="1" t="s">
        <v>17</v>
      </c>
    </row>
    <row r="491" spans="1:14" ht="15.75" customHeight="1">
      <c r="A491" s="1">
        <v>0.90622098399999995</v>
      </c>
      <c r="B491" s="1">
        <v>1109</v>
      </c>
      <c r="C491" s="1">
        <v>22</v>
      </c>
      <c r="D491" s="1">
        <v>1244</v>
      </c>
      <c r="E491" s="1">
        <v>25000</v>
      </c>
      <c r="F491" s="1">
        <v>25000</v>
      </c>
      <c r="G491" s="1" t="s">
        <v>23</v>
      </c>
      <c r="H491" s="1">
        <v>0.17874396100000001</v>
      </c>
      <c r="I491" s="1">
        <v>0.115942029</v>
      </c>
      <c r="J491" s="1">
        <v>0.222222222</v>
      </c>
      <c r="K491" s="1">
        <v>0.20289855100000001</v>
      </c>
      <c r="L491" s="1">
        <v>0.28019323699999998</v>
      </c>
      <c r="M491" s="1" t="s">
        <v>16</v>
      </c>
      <c r="N491" s="1" t="s">
        <v>17</v>
      </c>
    </row>
    <row r="492" spans="1:14" ht="15.75" customHeight="1">
      <c r="A492" s="1">
        <v>0.83870967699999999</v>
      </c>
      <c r="B492" s="1">
        <v>1050</v>
      </c>
      <c r="C492" s="1">
        <v>20</v>
      </c>
      <c r="D492" s="1">
        <v>160</v>
      </c>
      <c r="E492" s="1">
        <v>12040</v>
      </c>
      <c r="F492" s="1">
        <v>12040</v>
      </c>
      <c r="G492" s="1" t="s">
        <v>23</v>
      </c>
      <c r="H492" s="1">
        <v>0.36363636399999999</v>
      </c>
      <c r="I492" s="1">
        <v>0.27272727299999999</v>
      </c>
      <c r="J492" s="1">
        <v>0.18181818199999999</v>
      </c>
      <c r="K492" s="1">
        <v>0</v>
      </c>
      <c r="L492" s="1">
        <v>0.18181818199999999</v>
      </c>
      <c r="M492" s="1" t="s">
        <v>16</v>
      </c>
      <c r="N492" s="1" t="s">
        <v>17</v>
      </c>
    </row>
    <row r="493" spans="1:14" ht="15.75" customHeight="1">
      <c r="A493" s="1">
        <v>0.44120940600000003</v>
      </c>
      <c r="B493" s="1">
        <v>1072</v>
      </c>
      <c r="C493" s="1">
        <v>21</v>
      </c>
      <c r="D493" s="1">
        <v>703</v>
      </c>
      <c r="E493" s="1">
        <v>20318</v>
      </c>
      <c r="F493" s="1">
        <v>20318</v>
      </c>
      <c r="G493" s="1" t="s">
        <v>23</v>
      </c>
      <c r="H493" s="1">
        <v>0.148514851</v>
      </c>
      <c r="I493" s="1">
        <v>0.108910891</v>
      </c>
      <c r="J493" s="1">
        <v>0.20792079199999999</v>
      </c>
      <c r="K493" s="1">
        <v>0.22772277199999999</v>
      </c>
      <c r="L493" s="1">
        <v>0.30693069299999998</v>
      </c>
      <c r="M493" s="1" t="s">
        <v>16</v>
      </c>
      <c r="N493" s="1" t="s">
        <v>17</v>
      </c>
    </row>
    <row r="494" spans="1:14" ht="15.75" customHeight="1">
      <c r="A494" s="1">
        <v>0.72186046500000001</v>
      </c>
      <c r="B494" s="1">
        <v>1144</v>
      </c>
      <c r="C494" s="1">
        <v>23</v>
      </c>
      <c r="D494" s="1">
        <v>2712</v>
      </c>
      <c r="E494" s="1">
        <v>22690</v>
      </c>
      <c r="F494" s="1">
        <v>22690</v>
      </c>
      <c r="G494" s="1" t="s">
        <v>23</v>
      </c>
      <c r="H494" s="1">
        <v>0.183486239</v>
      </c>
      <c r="I494" s="1">
        <v>0.11009174300000001</v>
      </c>
      <c r="J494" s="1">
        <v>0.186544343</v>
      </c>
      <c r="K494" s="1">
        <v>0.18960244600000001</v>
      </c>
      <c r="L494" s="1">
        <v>0.330275229</v>
      </c>
      <c r="M494" s="1" t="s">
        <v>16</v>
      </c>
      <c r="N494" s="1" t="s">
        <v>17</v>
      </c>
    </row>
    <row r="495" spans="1:14" ht="15.75" customHeight="1">
      <c r="A495" s="1">
        <v>0.59271275300000004</v>
      </c>
      <c r="B495" s="1">
        <v>1093</v>
      </c>
      <c r="C495" s="1">
        <v>21</v>
      </c>
      <c r="D495" s="1">
        <v>1487</v>
      </c>
      <c r="E495" s="1">
        <v>26150</v>
      </c>
      <c r="F495" s="1">
        <v>26150</v>
      </c>
      <c r="G495" s="1" t="s">
        <v>23</v>
      </c>
      <c r="H495" s="1">
        <v>0.401273885</v>
      </c>
      <c r="I495" s="1">
        <v>0.10828025500000001</v>
      </c>
      <c r="J495" s="1">
        <v>0.20382165599999999</v>
      </c>
      <c r="K495" s="1">
        <v>0.159235669</v>
      </c>
      <c r="L495" s="1">
        <v>0.127388535</v>
      </c>
      <c r="M495" s="1" t="s">
        <v>16</v>
      </c>
      <c r="N495" s="1" t="s">
        <v>17</v>
      </c>
    </row>
    <row r="496" spans="1:14" ht="15.75" customHeight="1">
      <c r="A496" s="1">
        <v>0.65681737299999998</v>
      </c>
      <c r="B496" s="1">
        <v>1181</v>
      </c>
      <c r="C496" s="1">
        <v>24</v>
      </c>
      <c r="D496" s="1">
        <v>1028</v>
      </c>
      <c r="E496" s="1">
        <v>38514</v>
      </c>
      <c r="F496" s="1">
        <v>38514</v>
      </c>
      <c r="G496" s="1" t="s">
        <v>23</v>
      </c>
      <c r="H496" s="1">
        <v>0.23715415000000001</v>
      </c>
      <c r="I496" s="1">
        <v>0.150197628</v>
      </c>
      <c r="J496" s="1">
        <v>0.16205533599999999</v>
      </c>
      <c r="K496" s="1">
        <v>0.150197628</v>
      </c>
      <c r="L496" s="1">
        <v>0.30039525700000003</v>
      </c>
      <c r="M496" s="1" t="s">
        <v>16</v>
      </c>
      <c r="N496" s="1" t="s">
        <v>17</v>
      </c>
    </row>
    <row r="497" spans="1:14" ht="15.75" customHeight="1">
      <c r="A497" s="1">
        <v>0.496763485</v>
      </c>
      <c r="B497" s="1">
        <v>1385</v>
      </c>
      <c r="C497" s="1">
        <v>30</v>
      </c>
      <c r="D497" s="1">
        <v>1931</v>
      </c>
      <c r="E497" s="1">
        <v>54892</v>
      </c>
      <c r="F497" s="1">
        <v>54892</v>
      </c>
      <c r="G497" s="1" t="s">
        <v>23</v>
      </c>
      <c r="H497" s="1">
        <v>0.12734082399999999</v>
      </c>
      <c r="I497" s="1">
        <v>0.119850187</v>
      </c>
      <c r="J497" s="1">
        <v>0.12734082399999999</v>
      </c>
      <c r="K497" s="1">
        <v>0.12734082399999999</v>
      </c>
      <c r="L497" s="1">
        <v>0.498127341</v>
      </c>
      <c r="M497" s="1" t="s">
        <v>16</v>
      </c>
      <c r="N497" s="1" t="s">
        <v>17</v>
      </c>
    </row>
    <row r="498" spans="1:14" ht="15.75" customHeight="1">
      <c r="A498" s="1">
        <v>0.50896771600000001</v>
      </c>
      <c r="B498" s="1">
        <v>1336</v>
      </c>
      <c r="C498" s="1">
        <v>29</v>
      </c>
      <c r="D498" s="1">
        <v>1598</v>
      </c>
      <c r="E498" s="1">
        <v>53698</v>
      </c>
      <c r="F498" s="1">
        <v>53698</v>
      </c>
      <c r="G498" s="1" t="s">
        <v>23</v>
      </c>
      <c r="H498" s="1">
        <v>0.12077294700000001</v>
      </c>
      <c r="I498" s="1">
        <v>8.6956521999999994E-2</v>
      </c>
      <c r="J498" s="1">
        <v>0.14009661800000001</v>
      </c>
      <c r="K498" s="1">
        <v>0.183574879</v>
      </c>
      <c r="L498" s="1">
        <v>0.46859903400000003</v>
      </c>
      <c r="M498" s="1" t="s">
        <v>16</v>
      </c>
      <c r="N498" s="1" t="s">
        <v>17</v>
      </c>
    </row>
    <row r="499" spans="1:14" ht="15.75" customHeight="1">
      <c r="A499" s="1">
        <v>0.66605639000000005</v>
      </c>
      <c r="B499" s="1">
        <v>1116</v>
      </c>
      <c r="C499" s="1">
        <v>22</v>
      </c>
      <c r="D499" s="1">
        <v>2673</v>
      </c>
      <c r="E499" s="1">
        <v>25590</v>
      </c>
      <c r="F499" s="1">
        <v>25590</v>
      </c>
      <c r="G499" s="1" t="s">
        <v>23</v>
      </c>
      <c r="H499" s="1">
        <v>0.26162790699999999</v>
      </c>
      <c r="I499" s="1">
        <v>0.11627907</v>
      </c>
      <c r="J499" s="1">
        <v>0.20930232600000001</v>
      </c>
      <c r="K499" s="1">
        <v>0.139534884</v>
      </c>
      <c r="L499" s="1">
        <v>0.27325581399999999</v>
      </c>
      <c r="M499" s="1" t="s">
        <v>16</v>
      </c>
      <c r="N499" s="1" t="s">
        <v>17</v>
      </c>
    </row>
    <row r="500" spans="1:14" ht="15.75" customHeight="1">
      <c r="A500" s="1">
        <v>0.59412955499999998</v>
      </c>
      <c r="B500" s="1">
        <v>1051</v>
      </c>
      <c r="C500" s="1">
        <v>20</v>
      </c>
      <c r="D500" s="1">
        <v>832</v>
      </c>
      <c r="E500" s="1">
        <v>29264</v>
      </c>
      <c r="F500" s="1">
        <v>29264</v>
      </c>
      <c r="G500" s="1" t="s">
        <v>23</v>
      </c>
      <c r="H500" s="1">
        <v>0.225433526</v>
      </c>
      <c r="I500" s="1">
        <v>0.15606936399999999</v>
      </c>
      <c r="J500" s="1">
        <v>0.16184971100000001</v>
      </c>
      <c r="K500" s="1">
        <v>0.150289017</v>
      </c>
      <c r="L500" s="1">
        <v>0.30635838199999998</v>
      </c>
      <c r="M500" s="1" t="s">
        <v>16</v>
      </c>
      <c r="N500" s="1" t="s">
        <v>17</v>
      </c>
    </row>
    <row r="501" spans="1:14" ht="15.75" customHeight="1">
      <c r="A501" s="1">
        <v>0.70020428999999995</v>
      </c>
      <c r="B501" s="1">
        <v>1090</v>
      </c>
      <c r="C501" s="1">
        <v>21</v>
      </c>
      <c r="D501" s="1">
        <v>1697</v>
      </c>
      <c r="E501" s="1">
        <v>29790</v>
      </c>
      <c r="F501" s="1">
        <v>29790</v>
      </c>
      <c r="G501" s="1" t="s">
        <v>23</v>
      </c>
      <c r="H501" s="1">
        <v>0.19905213299999999</v>
      </c>
      <c r="I501" s="1">
        <v>0.165876777</v>
      </c>
      <c r="J501" s="1">
        <v>0.22274881499999999</v>
      </c>
      <c r="K501" s="1">
        <v>0.16113744099999999</v>
      </c>
      <c r="L501" s="1">
        <v>0.25118483400000002</v>
      </c>
      <c r="M501" s="1" t="s">
        <v>16</v>
      </c>
      <c r="N501" s="1" t="s">
        <v>17</v>
      </c>
    </row>
    <row r="502" spans="1:14" ht="15.75" customHeight="1">
      <c r="A502" s="1">
        <v>0.47177954799999999</v>
      </c>
      <c r="B502" s="1">
        <v>1243</v>
      </c>
      <c r="C502" s="1">
        <v>26</v>
      </c>
      <c r="D502" s="1">
        <v>1637</v>
      </c>
      <c r="E502" s="1">
        <v>38450</v>
      </c>
      <c r="F502" s="1">
        <v>38450</v>
      </c>
      <c r="G502" s="1" t="s">
        <v>23</v>
      </c>
      <c r="H502" s="1">
        <v>0.19620253200000001</v>
      </c>
      <c r="I502" s="1">
        <v>0.120253165</v>
      </c>
      <c r="J502" s="1">
        <v>0.113924051</v>
      </c>
      <c r="K502" s="1">
        <v>0.24050632899999999</v>
      </c>
      <c r="L502" s="1">
        <v>0.329113924</v>
      </c>
      <c r="M502" s="1" t="s">
        <v>16</v>
      </c>
      <c r="N502" s="1" t="s">
        <v>17</v>
      </c>
    </row>
    <row r="503" spans="1:14" ht="15.75" customHeight="1">
      <c r="A503" s="1">
        <v>0.64390243899999999</v>
      </c>
      <c r="B503" s="1">
        <v>1189</v>
      </c>
      <c r="C503" s="1">
        <v>25</v>
      </c>
      <c r="D503" s="1">
        <v>3129</v>
      </c>
      <c r="E503" s="1">
        <v>42380</v>
      </c>
      <c r="F503" s="1">
        <v>42380</v>
      </c>
      <c r="G503" s="1" t="s">
        <v>23</v>
      </c>
      <c r="H503" s="1">
        <v>0.19877049199999999</v>
      </c>
      <c r="I503" s="1">
        <v>0.12090163900000001</v>
      </c>
      <c r="J503" s="1">
        <v>0.14754098399999999</v>
      </c>
      <c r="K503" s="1">
        <v>0.19057377</v>
      </c>
      <c r="L503" s="1">
        <v>0.34221311500000001</v>
      </c>
      <c r="M503" s="1" t="s">
        <v>16</v>
      </c>
      <c r="N503" s="1" t="s">
        <v>17</v>
      </c>
    </row>
    <row r="504" spans="1:14" ht="15.75" customHeight="1">
      <c r="A504" s="1">
        <v>0.466569236</v>
      </c>
      <c r="B504" s="1">
        <v>1272</v>
      </c>
      <c r="C504" s="1">
        <v>29</v>
      </c>
      <c r="D504" s="1">
        <v>1125</v>
      </c>
      <c r="E504" s="1">
        <v>46500</v>
      </c>
      <c r="F504" s="1">
        <v>46500</v>
      </c>
      <c r="G504" s="1" t="s">
        <v>23</v>
      </c>
      <c r="H504" s="1">
        <v>0.25462963</v>
      </c>
      <c r="I504" s="1">
        <v>0.14814814800000001</v>
      </c>
      <c r="J504" s="1">
        <v>0.152777778</v>
      </c>
      <c r="K504" s="1">
        <v>0.185185185</v>
      </c>
      <c r="L504" s="1">
        <v>0.25925925900000002</v>
      </c>
      <c r="M504" s="1" t="s">
        <v>16</v>
      </c>
      <c r="N504" s="1" t="s">
        <v>17</v>
      </c>
    </row>
    <row r="505" spans="1:14" ht="15.75" customHeight="1">
      <c r="A505" s="1">
        <v>0.91059907799999995</v>
      </c>
      <c r="B505" s="1">
        <v>988</v>
      </c>
      <c r="C505" s="1">
        <v>19</v>
      </c>
      <c r="D505" s="1">
        <v>1388</v>
      </c>
      <c r="E505" s="1">
        <v>36690</v>
      </c>
      <c r="F505" s="1">
        <v>36690</v>
      </c>
      <c r="G505" s="1" t="s">
        <v>23</v>
      </c>
      <c r="H505" s="1">
        <v>0.257352941</v>
      </c>
      <c r="I505" s="1">
        <v>0.19852941199999999</v>
      </c>
      <c r="J505" s="1">
        <v>0.17647058800000001</v>
      </c>
      <c r="K505" s="1">
        <v>0.139705882</v>
      </c>
      <c r="L505" s="1">
        <v>0.227941176</v>
      </c>
      <c r="M505" s="1" t="s">
        <v>16</v>
      </c>
      <c r="N505" s="1" t="s">
        <v>17</v>
      </c>
    </row>
    <row r="506" spans="1:14" ht="15.75" customHeight="1">
      <c r="A506" s="1">
        <v>0.91082564200000005</v>
      </c>
      <c r="B506" s="1">
        <v>1109</v>
      </c>
      <c r="C506" s="1">
        <v>23</v>
      </c>
      <c r="D506" s="1">
        <v>2526</v>
      </c>
      <c r="E506" s="1">
        <v>38140</v>
      </c>
      <c r="F506" s="1">
        <v>38140</v>
      </c>
      <c r="G506" s="1" t="s">
        <v>23</v>
      </c>
      <c r="H506" s="1">
        <v>0.26096997700000002</v>
      </c>
      <c r="I506" s="1">
        <v>0.13856812900000001</v>
      </c>
      <c r="J506" s="1">
        <v>0.136258661</v>
      </c>
      <c r="K506" s="1">
        <v>0.127020785</v>
      </c>
      <c r="L506" s="1">
        <v>0.33718244800000002</v>
      </c>
      <c r="M506" s="1" t="s">
        <v>16</v>
      </c>
      <c r="N506" s="1" t="s">
        <v>17</v>
      </c>
    </row>
    <row r="507" spans="1:14" ht="15.75" customHeight="1">
      <c r="A507" s="1">
        <v>0.84025559100000002</v>
      </c>
      <c r="B507" s="1">
        <v>1022</v>
      </c>
      <c r="C507" s="1">
        <v>20</v>
      </c>
      <c r="D507" s="1">
        <v>272</v>
      </c>
      <c r="E507" s="1">
        <v>20260</v>
      </c>
      <c r="F507" s="1">
        <v>20260</v>
      </c>
      <c r="G507" s="1" t="s">
        <v>23</v>
      </c>
      <c r="H507" s="1">
        <v>0.29411764699999998</v>
      </c>
      <c r="I507" s="1">
        <v>0.20588235299999999</v>
      </c>
      <c r="J507" s="1">
        <v>0.147058824</v>
      </c>
      <c r="K507" s="1">
        <v>0.102941176</v>
      </c>
      <c r="L507" s="1">
        <v>0.25</v>
      </c>
      <c r="M507" s="1" t="s">
        <v>16</v>
      </c>
      <c r="N507" s="1" t="s">
        <v>17</v>
      </c>
    </row>
    <row r="508" spans="1:14" ht="15.75" customHeight="1">
      <c r="A508" s="1">
        <v>0.54199569299999995</v>
      </c>
      <c r="B508" s="1">
        <v>1284</v>
      </c>
      <c r="C508" s="1">
        <v>29</v>
      </c>
      <c r="D508" s="1">
        <v>1403</v>
      </c>
      <c r="E508" s="1">
        <v>50880</v>
      </c>
      <c r="F508" s="1">
        <v>50880</v>
      </c>
      <c r="G508" s="1" t="s">
        <v>23</v>
      </c>
      <c r="H508" s="1">
        <v>0.15352697100000001</v>
      </c>
      <c r="I508" s="1">
        <v>9.1286306999999997E-2</v>
      </c>
      <c r="J508" s="1">
        <v>0.15767634899999999</v>
      </c>
      <c r="K508" s="1">
        <v>0.14107883800000001</v>
      </c>
      <c r="L508" s="1">
        <v>0.456431535</v>
      </c>
      <c r="M508" s="1" t="s">
        <v>16</v>
      </c>
      <c r="N508" s="1" t="s">
        <v>17</v>
      </c>
    </row>
    <row r="509" spans="1:14" ht="15.75" customHeight="1">
      <c r="A509" s="1">
        <v>0.965334421</v>
      </c>
      <c r="B509" s="1">
        <v>1064</v>
      </c>
      <c r="C509" s="1">
        <v>20</v>
      </c>
      <c r="D509" s="1">
        <v>1275</v>
      </c>
      <c r="E509" s="1">
        <v>31686</v>
      </c>
      <c r="F509" s="1">
        <v>31686</v>
      </c>
      <c r="G509" s="1" t="s">
        <v>23</v>
      </c>
      <c r="H509" s="1">
        <v>0.196374622</v>
      </c>
      <c r="I509" s="1">
        <v>9.6676736999999999E-2</v>
      </c>
      <c r="J509" s="1">
        <v>0.145015106</v>
      </c>
      <c r="K509" s="1">
        <v>0.16616314200000001</v>
      </c>
      <c r="L509" s="1">
        <v>0.395770393</v>
      </c>
      <c r="M509" s="1" t="s">
        <v>16</v>
      </c>
      <c r="N509" s="1" t="s">
        <v>17</v>
      </c>
    </row>
    <row r="510" spans="1:14" ht="15.75" customHeight="1">
      <c r="A510" s="1">
        <v>0.85145771000000003</v>
      </c>
      <c r="B510" s="1">
        <v>1092</v>
      </c>
      <c r="C510" s="1">
        <v>23</v>
      </c>
      <c r="D510" s="1">
        <v>2777</v>
      </c>
      <c r="E510" s="1">
        <v>38100</v>
      </c>
      <c r="F510" s="1">
        <v>38100</v>
      </c>
      <c r="G510" s="1" t="s">
        <v>23</v>
      </c>
      <c r="H510" s="1">
        <v>0.38257575799999999</v>
      </c>
      <c r="I510" s="1">
        <v>0.23863636399999999</v>
      </c>
      <c r="J510" s="1">
        <v>0.168560606</v>
      </c>
      <c r="K510" s="1">
        <v>9.6590909000000003E-2</v>
      </c>
      <c r="L510" s="1">
        <v>0.113636364</v>
      </c>
      <c r="M510" s="1" t="s">
        <v>16</v>
      </c>
      <c r="N510" s="1" t="s">
        <v>17</v>
      </c>
    </row>
    <row r="511" spans="1:14" ht="15.75" customHeight="1">
      <c r="A511" s="1">
        <v>0.67691095400000001</v>
      </c>
      <c r="B511" s="1">
        <v>1019</v>
      </c>
      <c r="C511" s="1">
        <v>22</v>
      </c>
      <c r="D511" s="1">
        <v>716</v>
      </c>
      <c r="E511" s="1">
        <v>33322</v>
      </c>
      <c r="F511" s="1">
        <v>33322</v>
      </c>
      <c r="G511" s="1" t="s">
        <v>23</v>
      </c>
      <c r="H511" s="1">
        <v>0.26751592400000002</v>
      </c>
      <c r="I511" s="1">
        <v>0.21656051000000001</v>
      </c>
      <c r="J511" s="1">
        <v>0.13375796200000001</v>
      </c>
      <c r="K511" s="1">
        <v>0.178343949</v>
      </c>
      <c r="L511" s="1">
        <v>0.20382165599999999</v>
      </c>
      <c r="M511" s="1" t="s">
        <v>16</v>
      </c>
      <c r="N511" s="1" t="s">
        <v>17</v>
      </c>
    </row>
    <row r="512" spans="1:14" ht="15.75" customHeight="1">
      <c r="A512" s="1">
        <v>0.93361404800000003</v>
      </c>
      <c r="B512" s="1">
        <v>1042</v>
      </c>
      <c r="C512" s="1">
        <v>20</v>
      </c>
      <c r="D512" s="1">
        <v>4545</v>
      </c>
      <c r="E512" s="1">
        <v>35660</v>
      </c>
      <c r="F512" s="1">
        <v>35660</v>
      </c>
      <c r="G512" s="1" t="s">
        <v>23</v>
      </c>
      <c r="H512" s="1">
        <v>0.32734806599999999</v>
      </c>
      <c r="I512" s="1">
        <v>0.22375690600000001</v>
      </c>
      <c r="J512" s="1">
        <v>0.18784530399999999</v>
      </c>
      <c r="K512" s="1">
        <v>0.13259668499999999</v>
      </c>
      <c r="L512" s="1">
        <v>0.12845303899999999</v>
      </c>
      <c r="M512" s="1" t="s">
        <v>16</v>
      </c>
      <c r="N512" s="1" t="s">
        <v>17</v>
      </c>
    </row>
    <row r="513" spans="1:14" ht="15.75" customHeight="1">
      <c r="A513" s="1">
        <v>0.40676520799999999</v>
      </c>
      <c r="B513" s="1">
        <v>1262</v>
      </c>
      <c r="C513" s="1">
        <v>26</v>
      </c>
      <c r="D513" s="1">
        <v>1510</v>
      </c>
      <c r="E513" s="1">
        <v>35500</v>
      </c>
      <c r="F513" s="1">
        <v>35500</v>
      </c>
      <c r="G513" s="1" t="s">
        <v>23</v>
      </c>
      <c r="H513" s="1">
        <v>0.163265306</v>
      </c>
      <c r="I513" s="1">
        <v>0.112244898</v>
      </c>
      <c r="J513" s="1">
        <v>0.18877551000000001</v>
      </c>
      <c r="K513" s="1">
        <v>0.20408163300000001</v>
      </c>
      <c r="L513" s="1">
        <v>0.331632653</v>
      </c>
      <c r="M513" s="1" t="s">
        <v>16</v>
      </c>
      <c r="N513" s="1" t="s">
        <v>17</v>
      </c>
    </row>
    <row r="514" spans="1:14" ht="15.75" customHeight="1">
      <c r="A514" s="1">
        <v>0.73185940999999999</v>
      </c>
      <c r="B514" s="1">
        <v>1086</v>
      </c>
      <c r="C514" s="1">
        <v>22</v>
      </c>
      <c r="D514" s="1">
        <v>1210</v>
      </c>
      <c r="E514" s="1">
        <v>27298</v>
      </c>
      <c r="F514" s="1">
        <v>27298</v>
      </c>
      <c r="G514" s="1" t="s">
        <v>23</v>
      </c>
      <c r="H514" s="1">
        <v>0.126984127</v>
      </c>
      <c r="I514" s="1">
        <v>8.7301587E-2</v>
      </c>
      <c r="J514" s="1">
        <v>0.202380952</v>
      </c>
      <c r="K514" s="1">
        <v>0.20634920600000001</v>
      </c>
      <c r="L514" s="1">
        <v>0.376984127</v>
      </c>
      <c r="M514" s="1" t="s">
        <v>16</v>
      </c>
      <c r="N514" s="1" t="s">
        <v>17</v>
      </c>
    </row>
    <row r="515" spans="1:14" ht="15.75" customHeight="1">
      <c r="A515" s="1">
        <v>0.95117033399999995</v>
      </c>
      <c r="B515" s="1">
        <v>1098</v>
      </c>
      <c r="C515" s="1">
        <v>22</v>
      </c>
      <c r="D515" s="1">
        <v>2959</v>
      </c>
      <c r="E515" s="1">
        <v>33150</v>
      </c>
      <c r="F515" s="1">
        <v>33150</v>
      </c>
      <c r="G515" s="1" t="s">
        <v>23</v>
      </c>
      <c r="H515" s="1">
        <v>0.23302752299999999</v>
      </c>
      <c r="I515" s="1">
        <v>0.128440367</v>
      </c>
      <c r="J515" s="1">
        <v>0.155963303</v>
      </c>
      <c r="K515" s="1">
        <v>0.17431192700000001</v>
      </c>
      <c r="L515" s="1">
        <v>0.30825688099999998</v>
      </c>
      <c r="M515" s="1" t="s">
        <v>16</v>
      </c>
      <c r="N515" s="1" t="s">
        <v>17</v>
      </c>
    </row>
    <row r="516" spans="1:14" ht="15.75" customHeight="1">
      <c r="A516" s="1">
        <v>0.576509512</v>
      </c>
      <c r="B516" s="1">
        <v>1072</v>
      </c>
      <c r="C516" s="1">
        <v>20</v>
      </c>
      <c r="D516" s="1">
        <v>1108</v>
      </c>
      <c r="E516" s="1">
        <v>31372</v>
      </c>
      <c r="F516" s="1">
        <v>31372</v>
      </c>
      <c r="G516" s="1" t="s">
        <v>23</v>
      </c>
      <c r="H516" s="1">
        <v>0.26008968599999999</v>
      </c>
      <c r="I516" s="1">
        <v>0.19730941699999999</v>
      </c>
      <c r="J516" s="1">
        <v>0.170403587</v>
      </c>
      <c r="K516" s="1">
        <v>0.15695067300000001</v>
      </c>
      <c r="L516" s="1">
        <v>0.21524663699999999</v>
      </c>
      <c r="M516" s="1" t="s">
        <v>16</v>
      </c>
      <c r="N516" s="1" t="s">
        <v>17</v>
      </c>
    </row>
    <row r="517" spans="1:14" ht="15.75" customHeight="1">
      <c r="A517" s="1">
        <v>0.83692746399999995</v>
      </c>
      <c r="B517" s="1">
        <v>1135</v>
      </c>
      <c r="C517" s="1">
        <v>22</v>
      </c>
      <c r="D517" s="1">
        <v>2729</v>
      </c>
      <c r="E517" s="1">
        <v>51384</v>
      </c>
      <c r="F517" s="1">
        <v>51384</v>
      </c>
      <c r="G517" s="1" t="s">
        <v>23</v>
      </c>
      <c r="H517" s="1">
        <v>0.298765432</v>
      </c>
      <c r="I517" s="1">
        <v>0.2</v>
      </c>
      <c r="J517" s="1">
        <v>0.197530864</v>
      </c>
      <c r="K517" s="1">
        <v>0.133333333</v>
      </c>
      <c r="L517" s="1">
        <v>0.17037036999999999</v>
      </c>
      <c r="M517" s="1" t="s">
        <v>16</v>
      </c>
      <c r="N517" s="1" t="s">
        <v>17</v>
      </c>
    </row>
    <row r="518" spans="1:14" ht="15.75" customHeight="1">
      <c r="A518" s="1">
        <v>0.93337523600000005</v>
      </c>
      <c r="B518" s="1">
        <v>1204</v>
      </c>
      <c r="C518" s="1">
        <v>25</v>
      </c>
      <c r="D518" s="1">
        <v>2826</v>
      </c>
      <c r="E518" s="1">
        <v>33660</v>
      </c>
      <c r="F518" s="1">
        <v>33660</v>
      </c>
      <c r="G518" s="1" t="s">
        <v>23</v>
      </c>
      <c r="H518" s="1">
        <v>0.37735849100000002</v>
      </c>
      <c r="I518" s="1">
        <v>0.210691824</v>
      </c>
      <c r="J518" s="1">
        <v>0.20440251600000001</v>
      </c>
      <c r="K518" s="1">
        <v>7.5471698000000004E-2</v>
      </c>
      <c r="L518" s="1">
        <v>0.132075472</v>
      </c>
      <c r="M518" s="1" t="s">
        <v>16</v>
      </c>
      <c r="N518" s="1" t="s">
        <v>17</v>
      </c>
    </row>
    <row r="519" spans="1:14" ht="15.75" customHeight="1">
      <c r="A519" s="1">
        <v>0.88948683500000003</v>
      </c>
      <c r="B519" s="1">
        <v>989</v>
      </c>
      <c r="C519" s="1">
        <v>17</v>
      </c>
      <c r="D519" s="1">
        <v>1911</v>
      </c>
      <c r="E519" s="1">
        <v>36242</v>
      </c>
      <c r="F519" s="1">
        <v>36242</v>
      </c>
      <c r="G519" s="1" t="s">
        <v>23</v>
      </c>
      <c r="H519" s="1">
        <v>0.24400871499999999</v>
      </c>
      <c r="I519" s="1">
        <v>0.130718954</v>
      </c>
      <c r="J519" s="1">
        <v>0.19389978199999999</v>
      </c>
      <c r="K519" s="1">
        <v>0.130718954</v>
      </c>
      <c r="L519" s="1">
        <v>0.300653595</v>
      </c>
      <c r="M519" s="1" t="s">
        <v>16</v>
      </c>
      <c r="N519" s="1" t="s">
        <v>17</v>
      </c>
    </row>
    <row r="520" spans="1:14" ht="15.75" customHeight="1">
      <c r="A520" s="1">
        <v>0.84227642300000005</v>
      </c>
      <c r="B520" s="1">
        <v>1014</v>
      </c>
      <c r="C520" s="1">
        <v>19</v>
      </c>
      <c r="D520" s="1">
        <v>1366</v>
      </c>
      <c r="E520" s="1">
        <v>18610</v>
      </c>
      <c r="F520" s="1">
        <v>18610</v>
      </c>
      <c r="G520" s="1" t="s">
        <v>23</v>
      </c>
      <c r="H520" s="1">
        <v>0.24796747999999999</v>
      </c>
      <c r="I520" s="1">
        <v>0.19512195099999999</v>
      </c>
      <c r="J520" s="1">
        <v>0.162601626</v>
      </c>
      <c r="K520" s="1">
        <v>0.18292682900000001</v>
      </c>
      <c r="L520" s="1">
        <v>0.21138211400000001</v>
      </c>
      <c r="M520" s="1" t="s">
        <v>16</v>
      </c>
      <c r="N520" s="1" t="s">
        <v>17</v>
      </c>
    </row>
    <row r="521" spans="1:14" ht="15.75" customHeight="1">
      <c r="A521" s="1">
        <v>0.39073652199999998</v>
      </c>
      <c r="B521" s="1">
        <v>1269</v>
      </c>
      <c r="C521" s="1">
        <v>28</v>
      </c>
      <c r="D521" s="1">
        <v>1454</v>
      </c>
      <c r="E521" s="1">
        <v>51058</v>
      </c>
      <c r="F521" s="1">
        <v>51058</v>
      </c>
      <c r="G521" s="1" t="s">
        <v>23</v>
      </c>
      <c r="H521" s="1">
        <v>0.13302752300000001</v>
      </c>
      <c r="I521" s="1">
        <v>0.142201835</v>
      </c>
      <c r="J521" s="1">
        <v>0.169724771</v>
      </c>
      <c r="K521" s="1">
        <v>0.169724771</v>
      </c>
      <c r="L521" s="1">
        <v>0.385321101</v>
      </c>
      <c r="M521" s="1" t="s">
        <v>16</v>
      </c>
      <c r="N521" s="1" t="s">
        <v>17</v>
      </c>
    </row>
    <row r="522" spans="1:14" ht="15.75" customHeight="1">
      <c r="A522" s="1">
        <v>0.55517711199999997</v>
      </c>
      <c r="B522" s="1">
        <v>1031</v>
      </c>
      <c r="C522" s="1">
        <v>19</v>
      </c>
      <c r="D522" s="1">
        <v>574</v>
      </c>
      <c r="E522" s="1">
        <v>24588</v>
      </c>
      <c r="F522" s="1">
        <v>24588</v>
      </c>
      <c r="G522" s="1" t="s">
        <v>23</v>
      </c>
      <c r="H522" s="1">
        <v>0.311111111</v>
      </c>
      <c r="I522" s="1">
        <v>0.15555555600000001</v>
      </c>
      <c r="J522" s="1">
        <v>0.12222222200000001</v>
      </c>
      <c r="K522" s="1">
        <v>0.188888889</v>
      </c>
      <c r="L522" s="1">
        <v>0.222222222</v>
      </c>
      <c r="M522" s="1" t="s">
        <v>16</v>
      </c>
      <c r="N522" s="1" t="s">
        <v>17</v>
      </c>
    </row>
    <row r="523" spans="1:14" ht="15.75" customHeight="1">
      <c r="A523" s="1">
        <v>0.42598820500000001</v>
      </c>
      <c r="B523" s="1">
        <v>1303</v>
      </c>
      <c r="C523" s="1">
        <v>29</v>
      </c>
      <c r="D523" s="1">
        <v>10919</v>
      </c>
      <c r="E523" s="1">
        <v>57220</v>
      </c>
      <c r="F523" s="1">
        <v>57220</v>
      </c>
      <c r="G523" s="1" t="s">
        <v>23</v>
      </c>
      <c r="H523" s="1">
        <v>0.16224814400000001</v>
      </c>
      <c r="I523" s="1">
        <v>0.12301166500000001</v>
      </c>
      <c r="J523" s="1">
        <v>0.13679745500000001</v>
      </c>
      <c r="K523" s="1">
        <v>0.10392364799999999</v>
      </c>
      <c r="L523" s="1">
        <v>0.47401908799999998</v>
      </c>
      <c r="M523" s="1" t="s">
        <v>16</v>
      </c>
      <c r="N523" s="1" t="s">
        <v>17</v>
      </c>
    </row>
    <row r="524" spans="1:14" ht="15.75" customHeight="1">
      <c r="A524" s="1">
        <v>0.94787644800000004</v>
      </c>
      <c r="B524" s="1">
        <v>1124</v>
      </c>
      <c r="C524" s="1">
        <v>23</v>
      </c>
      <c r="D524" s="1">
        <v>1260</v>
      </c>
      <c r="E524" s="1">
        <v>34920</v>
      </c>
      <c r="F524" s="1">
        <v>34920</v>
      </c>
      <c r="G524" s="1" t="s">
        <v>23</v>
      </c>
      <c r="H524" s="1">
        <v>0.23735408599999999</v>
      </c>
      <c r="I524" s="1">
        <v>0.163424125</v>
      </c>
      <c r="J524" s="1">
        <v>0.22957198400000001</v>
      </c>
      <c r="K524" s="1">
        <v>0.143968872</v>
      </c>
      <c r="L524" s="1">
        <v>0.225680934</v>
      </c>
      <c r="M524" s="1" t="s">
        <v>16</v>
      </c>
      <c r="N524" s="1" t="s">
        <v>17</v>
      </c>
    </row>
    <row r="525" spans="1:14" ht="15.75" customHeight="1">
      <c r="A525" s="1">
        <v>0.62391534400000004</v>
      </c>
      <c r="B525" s="1">
        <v>1051</v>
      </c>
      <c r="C525" s="1">
        <v>19</v>
      </c>
      <c r="D525" s="1">
        <v>1671</v>
      </c>
      <c r="E525" s="1">
        <v>37934</v>
      </c>
      <c r="F525" s="1">
        <v>37934</v>
      </c>
      <c r="G525" s="1" t="s">
        <v>23</v>
      </c>
      <c r="H525" s="1">
        <v>0.419475655</v>
      </c>
      <c r="I525" s="1">
        <v>0.21348314600000001</v>
      </c>
      <c r="J525" s="1">
        <v>0.17602996300000001</v>
      </c>
      <c r="K525" s="1">
        <v>0.12359550599999999</v>
      </c>
      <c r="L525" s="1">
        <v>6.7415729999999993E-2</v>
      </c>
      <c r="M525" s="1" t="s">
        <v>16</v>
      </c>
      <c r="N525" s="1" t="s">
        <v>17</v>
      </c>
    </row>
    <row r="526" spans="1:14" ht="15.75" customHeight="1">
      <c r="A526" s="1">
        <v>0.28157549199999998</v>
      </c>
      <c r="B526" s="1">
        <v>1407</v>
      </c>
      <c r="C526" s="1">
        <v>32</v>
      </c>
      <c r="D526" s="1">
        <v>2518</v>
      </c>
      <c r="E526" s="1">
        <v>51352</v>
      </c>
      <c r="F526" s="1">
        <v>51352</v>
      </c>
      <c r="G526" s="1" t="s">
        <v>23</v>
      </c>
      <c r="H526" s="1">
        <v>0.24814814800000001</v>
      </c>
      <c r="I526" s="1">
        <v>8.5185184999999997E-2</v>
      </c>
      <c r="J526" s="1">
        <v>0.15185185200000001</v>
      </c>
      <c r="K526" s="1">
        <v>0.12962963</v>
      </c>
      <c r="L526" s="1">
        <v>0.38518518499999999</v>
      </c>
      <c r="M526" s="1" t="s">
        <v>16</v>
      </c>
      <c r="N526" s="1" t="s">
        <v>17</v>
      </c>
    </row>
    <row r="527" spans="1:14" ht="15.75" customHeight="1">
      <c r="A527" s="1">
        <v>0.69189533000000003</v>
      </c>
      <c r="B527" s="1">
        <v>1376</v>
      </c>
      <c r="C527" s="1">
        <v>30</v>
      </c>
      <c r="D527" s="1">
        <v>32221</v>
      </c>
      <c r="E527" s="1">
        <v>6496</v>
      </c>
      <c r="F527" s="1">
        <v>6496</v>
      </c>
      <c r="G527" s="1" t="s">
        <v>23</v>
      </c>
      <c r="H527" s="1">
        <v>0.22500000000000001</v>
      </c>
      <c r="I527" s="1">
        <v>0.10625</v>
      </c>
      <c r="J527" s="1">
        <v>0.18124999999999999</v>
      </c>
      <c r="K527" s="1">
        <v>0.20729166700000001</v>
      </c>
      <c r="L527" s="1">
        <v>0.28020833299999998</v>
      </c>
      <c r="M527" s="1" t="s">
        <v>16</v>
      </c>
      <c r="N527" s="1" t="s">
        <v>17</v>
      </c>
    </row>
    <row r="528" spans="1:14" ht="15.75" customHeight="1">
      <c r="A528" s="1">
        <v>0.37874015700000002</v>
      </c>
      <c r="B528" s="1">
        <v>1104</v>
      </c>
      <c r="C528" s="1">
        <v>22</v>
      </c>
      <c r="D528" s="1">
        <v>2812</v>
      </c>
      <c r="E528" s="1">
        <v>6438</v>
      </c>
      <c r="F528" s="1">
        <v>6438</v>
      </c>
      <c r="G528" s="1" t="s">
        <v>23</v>
      </c>
      <c r="H528" s="1">
        <v>1</v>
      </c>
      <c r="I528" s="1">
        <v>0</v>
      </c>
      <c r="J528" s="1">
        <v>0</v>
      </c>
      <c r="K528" s="1">
        <v>0</v>
      </c>
      <c r="L528" s="1">
        <v>0</v>
      </c>
      <c r="M528" s="1" t="s">
        <v>16</v>
      </c>
      <c r="N528" s="1" t="s">
        <v>17</v>
      </c>
    </row>
    <row r="529" spans="1:14" ht="15.75" customHeight="1">
      <c r="A529" s="1">
        <v>0.68830675799999996</v>
      </c>
      <c r="B529" s="1">
        <v>1249</v>
      </c>
      <c r="C529" s="1">
        <v>26</v>
      </c>
      <c r="D529" s="1">
        <v>882</v>
      </c>
      <c r="E529" s="1">
        <v>41416</v>
      </c>
      <c r="F529" s="1">
        <v>41416</v>
      </c>
      <c r="G529" s="1" t="s">
        <v>23</v>
      </c>
      <c r="H529" s="1">
        <v>0.109756098</v>
      </c>
      <c r="I529" s="1">
        <v>7.9268293000000004E-2</v>
      </c>
      <c r="J529" s="1">
        <v>0.12195122</v>
      </c>
      <c r="K529" s="1">
        <v>0.140243902</v>
      </c>
      <c r="L529" s="1">
        <v>0.54878048800000001</v>
      </c>
      <c r="M529" s="1" t="s">
        <v>16</v>
      </c>
      <c r="N529" s="1" t="s">
        <v>17</v>
      </c>
    </row>
    <row r="530" spans="1:14" ht="15.75" customHeight="1">
      <c r="A530" s="1">
        <v>0.48035398200000001</v>
      </c>
      <c r="B530" s="1">
        <v>1358</v>
      </c>
      <c r="C530" s="1">
        <v>30</v>
      </c>
      <c r="D530" s="1">
        <v>759</v>
      </c>
      <c r="E530" s="1">
        <v>64644</v>
      </c>
      <c r="F530" s="1">
        <v>64644</v>
      </c>
      <c r="G530" s="1" t="s">
        <v>23</v>
      </c>
      <c r="H530" s="1">
        <v>0.16</v>
      </c>
      <c r="I530" s="1">
        <v>0.12</v>
      </c>
      <c r="J530" s="1">
        <v>0.16</v>
      </c>
      <c r="K530" s="1">
        <v>0.14399999999999999</v>
      </c>
      <c r="L530" s="1">
        <v>0.41599999999999998</v>
      </c>
      <c r="M530" s="1" t="s">
        <v>16</v>
      </c>
      <c r="N530" s="1" t="s">
        <v>17</v>
      </c>
    </row>
    <row r="531" spans="1:14" ht="15.75" customHeight="1">
      <c r="A531" s="1">
        <v>0.66717009599999999</v>
      </c>
      <c r="B531" s="1">
        <v>1262</v>
      </c>
      <c r="C531" s="1">
        <v>28</v>
      </c>
      <c r="D531" s="1">
        <v>2870</v>
      </c>
      <c r="E531" s="1">
        <v>45550</v>
      </c>
      <c r="F531" s="1">
        <v>45550</v>
      </c>
      <c r="G531" s="1" t="s">
        <v>23</v>
      </c>
      <c r="H531" s="1">
        <v>0.15180722899999999</v>
      </c>
      <c r="I531" s="1">
        <v>9.6385542000000005E-2</v>
      </c>
      <c r="J531" s="1">
        <v>0.163855422</v>
      </c>
      <c r="K531" s="1">
        <v>0.18554216900000001</v>
      </c>
      <c r="L531" s="1">
        <v>0.40240963899999999</v>
      </c>
      <c r="M531" s="1" t="s">
        <v>16</v>
      </c>
      <c r="N531" s="1" t="s">
        <v>17</v>
      </c>
    </row>
    <row r="532" spans="1:14" ht="15.75" customHeight="1">
      <c r="A532" s="1">
        <v>0.103707603</v>
      </c>
      <c r="B532" s="1">
        <v>1500</v>
      </c>
      <c r="C532" s="1">
        <v>34</v>
      </c>
      <c r="D532" s="1">
        <v>2785</v>
      </c>
      <c r="E532" s="1">
        <v>65280</v>
      </c>
      <c r="F532" s="1">
        <v>65280</v>
      </c>
      <c r="G532" s="1" t="s">
        <v>23</v>
      </c>
      <c r="H532" s="1">
        <v>0.16988417</v>
      </c>
      <c r="I532" s="1">
        <v>0.14671814699999999</v>
      </c>
      <c r="J532" s="1">
        <v>0.18532818500000001</v>
      </c>
      <c r="K532" s="1">
        <v>0.154440154</v>
      </c>
      <c r="L532" s="1">
        <v>0.343629344</v>
      </c>
      <c r="M532" s="1" t="s">
        <v>16</v>
      </c>
      <c r="N532" s="1" t="s">
        <v>17</v>
      </c>
    </row>
    <row r="533" spans="1:14" ht="15.75" customHeight="1">
      <c r="A533" s="1">
        <v>0.736086872</v>
      </c>
      <c r="B533" s="1">
        <v>1190</v>
      </c>
      <c r="C533" s="1">
        <v>24</v>
      </c>
      <c r="D533" s="1">
        <v>2490</v>
      </c>
      <c r="E533" s="1">
        <v>49600</v>
      </c>
      <c r="F533" s="1">
        <v>49600</v>
      </c>
      <c r="G533" s="1" t="s">
        <v>23</v>
      </c>
      <c r="H533" s="1">
        <v>0.17615176199999999</v>
      </c>
      <c r="I533" s="1">
        <v>0.10840108399999999</v>
      </c>
      <c r="J533" s="1">
        <v>0.17886178899999999</v>
      </c>
      <c r="K533" s="1">
        <v>0.17344173399999999</v>
      </c>
      <c r="L533" s="1">
        <v>0.36314363100000002</v>
      </c>
      <c r="M533" s="1" t="s">
        <v>16</v>
      </c>
      <c r="N533" s="1" t="s">
        <v>17</v>
      </c>
    </row>
    <row r="534" spans="1:14" ht="15.75" customHeight="1">
      <c r="A534" s="1">
        <v>0.91852974600000004</v>
      </c>
      <c r="B534" s="1">
        <v>1241</v>
      </c>
      <c r="C534" s="1">
        <v>29</v>
      </c>
      <c r="D534" s="1">
        <v>1157</v>
      </c>
      <c r="E534" s="1">
        <v>50040</v>
      </c>
      <c r="F534" s="1">
        <v>50040</v>
      </c>
      <c r="G534" s="1" t="s">
        <v>23</v>
      </c>
      <c r="H534" s="1">
        <v>8.8757396000000002E-2</v>
      </c>
      <c r="I534" s="1">
        <v>4.1420117999999999E-2</v>
      </c>
      <c r="J534" s="1">
        <v>0.14792899400000001</v>
      </c>
      <c r="K534" s="1">
        <v>0.15384615400000001</v>
      </c>
      <c r="L534" s="1">
        <v>0.56804733699999999</v>
      </c>
      <c r="M534" s="1" t="s">
        <v>16</v>
      </c>
      <c r="N534" s="1" t="s">
        <v>17</v>
      </c>
    </row>
    <row r="535" spans="1:14" ht="15.75" customHeight="1">
      <c r="A535" s="1">
        <v>0.47802528599999999</v>
      </c>
      <c r="B535" s="1">
        <v>1054</v>
      </c>
      <c r="C535" s="1">
        <v>18</v>
      </c>
      <c r="D535" s="1">
        <v>1162</v>
      </c>
      <c r="E535" s="1">
        <v>38550</v>
      </c>
      <c r="F535" s="1">
        <v>38550</v>
      </c>
      <c r="G535" s="1" t="s">
        <v>23</v>
      </c>
      <c r="H535" s="1">
        <v>0.273195876</v>
      </c>
      <c r="I535" s="1">
        <v>0.18556701</v>
      </c>
      <c r="J535" s="1">
        <v>0.175257732</v>
      </c>
      <c r="K535" s="1">
        <v>0.108247423</v>
      </c>
      <c r="L535" s="1">
        <v>0.25773195900000001</v>
      </c>
      <c r="M535" s="1" t="s">
        <v>16</v>
      </c>
      <c r="N535" s="1" t="s">
        <v>17</v>
      </c>
    </row>
    <row r="536" spans="1:14" ht="15.75" customHeight="1">
      <c r="A536" s="1">
        <v>0.90813253000000005</v>
      </c>
      <c r="B536" s="1">
        <v>1225</v>
      </c>
      <c r="C536" s="1">
        <v>29</v>
      </c>
      <c r="D536" s="1">
        <v>1388</v>
      </c>
      <c r="E536" s="1">
        <v>41350</v>
      </c>
      <c r="F536" s="1">
        <v>41350</v>
      </c>
      <c r="G536" s="1" t="s">
        <v>23</v>
      </c>
      <c r="H536" s="1">
        <v>0.13058419199999999</v>
      </c>
      <c r="I536" s="1">
        <v>0.120274914</v>
      </c>
      <c r="J536" s="1">
        <v>0.189003436</v>
      </c>
      <c r="K536" s="1">
        <v>0.14432989700000001</v>
      </c>
      <c r="L536" s="1">
        <v>0.41580756000000002</v>
      </c>
      <c r="M536" s="1" t="s">
        <v>16</v>
      </c>
      <c r="N536" s="1" t="s">
        <v>17</v>
      </c>
    </row>
    <row r="537" spans="1:14" ht="15.75" customHeight="1">
      <c r="A537" s="1">
        <v>0.41178901000000001</v>
      </c>
      <c r="B537" s="1">
        <v>1169</v>
      </c>
      <c r="C537" s="1">
        <v>24</v>
      </c>
      <c r="D537" s="1">
        <v>4282</v>
      </c>
      <c r="E537" s="1">
        <v>20686</v>
      </c>
      <c r="F537" s="1">
        <v>20686</v>
      </c>
      <c r="G537" s="1" t="s">
        <v>23</v>
      </c>
      <c r="H537" s="1">
        <v>0.366071429</v>
      </c>
      <c r="I537" s="1">
        <v>0.15625</v>
      </c>
      <c r="J537" s="1">
        <v>0.15625</v>
      </c>
      <c r="K537" s="1">
        <v>0.18303571399999999</v>
      </c>
      <c r="L537" s="1">
        <v>0.13839285700000001</v>
      </c>
      <c r="M537" s="1" t="s">
        <v>16</v>
      </c>
      <c r="N537" s="1" t="s">
        <v>17</v>
      </c>
    </row>
    <row r="538" spans="1:14" ht="15.75" customHeight="1">
      <c r="A538" s="1">
        <v>0.96296296299999995</v>
      </c>
      <c r="B538" s="1">
        <v>1171</v>
      </c>
      <c r="C538" s="1">
        <v>25</v>
      </c>
      <c r="D538" s="1">
        <v>1107</v>
      </c>
      <c r="E538" s="1">
        <v>35280</v>
      </c>
      <c r="F538" s="1">
        <v>35280</v>
      </c>
      <c r="G538" s="1" t="s">
        <v>23</v>
      </c>
      <c r="H538" s="1">
        <v>0.23809523799999999</v>
      </c>
      <c r="I538" s="1">
        <v>0.13095238100000001</v>
      </c>
      <c r="J538" s="1">
        <v>0.178571429</v>
      </c>
      <c r="K538" s="1">
        <v>0.174603175</v>
      </c>
      <c r="L538" s="1">
        <v>0.27777777799999998</v>
      </c>
      <c r="M538" s="1" t="s">
        <v>16</v>
      </c>
      <c r="N538" s="1" t="s">
        <v>17</v>
      </c>
    </row>
    <row r="539" spans="1:14" ht="15.75" customHeight="1">
      <c r="A539" s="1">
        <v>0.50134892099999995</v>
      </c>
      <c r="B539" s="1">
        <v>1168</v>
      </c>
      <c r="C539" s="1">
        <v>27</v>
      </c>
      <c r="D539" s="1">
        <v>876</v>
      </c>
      <c r="E539" s="1">
        <v>52388</v>
      </c>
      <c r="F539" s="1">
        <v>52388</v>
      </c>
      <c r="G539" s="1" t="s">
        <v>23</v>
      </c>
      <c r="H539" s="1">
        <v>0.17073170700000001</v>
      </c>
      <c r="I539" s="1">
        <v>9.7560975999999994E-2</v>
      </c>
      <c r="J539" s="1">
        <v>0.140243902</v>
      </c>
      <c r="K539" s="1">
        <v>0.17682926800000001</v>
      </c>
      <c r="L539" s="1">
        <v>0.41463414599999998</v>
      </c>
      <c r="M539" s="1" t="s">
        <v>16</v>
      </c>
      <c r="N539" s="1" t="s">
        <v>17</v>
      </c>
    </row>
    <row r="540" spans="1:14" ht="15.75" customHeight="1">
      <c r="A540" s="1">
        <v>0.48271309499999998</v>
      </c>
      <c r="B540" s="1">
        <v>1062</v>
      </c>
      <c r="C540" s="1">
        <v>19</v>
      </c>
      <c r="D540" s="1">
        <v>3254</v>
      </c>
      <c r="E540" s="1">
        <v>29162</v>
      </c>
      <c r="F540" s="1">
        <v>29162</v>
      </c>
      <c r="G540" s="1" t="s">
        <v>23</v>
      </c>
      <c r="H540" s="1">
        <v>0.47301587299999998</v>
      </c>
      <c r="I540" s="1">
        <v>0.21746031699999999</v>
      </c>
      <c r="J540" s="1">
        <v>0.18412698399999999</v>
      </c>
      <c r="K540" s="1">
        <v>0</v>
      </c>
      <c r="L540" s="1">
        <v>0.12539682499999999</v>
      </c>
      <c r="M540" s="1" t="s">
        <v>16</v>
      </c>
      <c r="N540" s="1" t="s">
        <v>17</v>
      </c>
    </row>
    <row r="541" spans="1:14" ht="15.75" customHeight="1">
      <c r="A541" s="1">
        <v>0.70855615000000005</v>
      </c>
      <c r="B541" s="1">
        <v>1256</v>
      </c>
      <c r="C541" s="1">
        <v>27</v>
      </c>
      <c r="D541" s="1">
        <v>673</v>
      </c>
      <c r="E541" s="1">
        <v>42260</v>
      </c>
      <c r="F541" s="1">
        <v>42260</v>
      </c>
      <c r="G541" s="1" t="s">
        <v>23</v>
      </c>
      <c r="H541" s="1">
        <v>0.18666666700000001</v>
      </c>
      <c r="I541" s="1">
        <v>0.2</v>
      </c>
      <c r="J541" s="1">
        <v>0.193333333</v>
      </c>
      <c r="K541" s="1">
        <v>0.146666667</v>
      </c>
      <c r="L541" s="1">
        <v>0.27333333300000001</v>
      </c>
      <c r="M541" s="1" t="s">
        <v>16</v>
      </c>
      <c r="N541" s="1" t="s">
        <v>17</v>
      </c>
    </row>
    <row r="542" spans="1:14" ht="15.75" customHeight="1">
      <c r="A542" s="1">
        <v>0.83396946599999999</v>
      </c>
      <c r="B542" s="1">
        <v>1148</v>
      </c>
      <c r="C542" s="1">
        <v>26</v>
      </c>
      <c r="D542" s="1">
        <v>1489</v>
      </c>
      <c r="E542" s="1">
        <v>48002</v>
      </c>
      <c r="F542" s="1">
        <v>48002</v>
      </c>
      <c r="G542" s="1" t="s">
        <v>23</v>
      </c>
      <c r="H542" s="1">
        <v>0.11636363600000001</v>
      </c>
      <c r="I542" s="1">
        <v>0.105454545</v>
      </c>
      <c r="J542" s="1">
        <v>0.13818181800000001</v>
      </c>
      <c r="K542" s="1">
        <v>0.127272727</v>
      </c>
      <c r="L542" s="1">
        <v>0.51272727299999998</v>
      </c>
      <c r="M542" s="1" t="s">
        <v>16</v>
      </c>
      <c r="N542" s="1" t="s">
        <v>17</v>
      </c>
    </row>
    <row r="543" spans="1:14" ht="15.75" customHeight="1">
      <c r="A543" s="1">
        <v>0.949354005</v>
      </c>
      <c r="B543" s="1">
        <v>1109</v>
      </c>
      <c r="C543" s="1">
        <v>22</v>
      </c>
      <c r="D543" s="1">
        <v>520</v>
      </c>
      <c r="E543" s="1">
        <v>29010</v>
      </c>
      <c r="F543" s="1">
        <v>29010</v>
      </c>
      <c r="G543" s="1" t="s">
        <v>23</v>
      </c>
      <c r="H543" s="1">
        <v>0.27819548900000002</v>
      </c>
      <c r="I543" s="1">
        <v>0.14285714299999999</v>
      </c>
      <c r="J543" s="1">
        <v>0.15789473700000001</v>
      </c>
      <c r="K543" s="1">
        <v>0.17293233099999999</v>
      </c>
      <c r="L543" s="1">
        <v>0.24812030099999999</v>
      </c>
      <c r="M543" s="1" t="s">
        <v>16</v>
      </c>
      <c r="N543" s="1" t="s">
        <v>17</v>
      </c>
    </row>
    <row r="544" spans="1:14" ht="15.75" customHeight="1">
      <c r="A544" s="1">
        <v>0.23311950300000001</v>
      </c>
      <c r="B544" s="1">
        <v>1474</v>
      </c>
      <c r="C544" s="1">
        <v>33</v>
      </c>
      <c r="D544" s="1">
        <v>3002</v>
      </c>
      <c r="E544" s="1">
        <v>62600</v>
      </c>
      <c r="F544" s="1">
        <v>62600</v>
      </c>
      <c r="G544" s="1" t="s">
        <v>23</v>
      </c>
      <c r="H544" s="1">
        <v>0.14409221899999999</v>
      </c>
      <c r="I544" s="1">
        <v>8.9337176000000004E-2</v>
      </c>
      <c r="J544" s="1">
        <v>0.12391930800000001</v>
      </c>
      <c r="K544" s="1">
        <v>0.11815562</v>
      </c>
      <c r="L544" s="1">
        <v>0.52449567699999999</v>
      </c>
      <c r="M544" s="1" t="s">
        <v>16</v>
      </c>
      <c r="N544" s="1" t="s">
        <v>17</v>
      </c>
    </row>
    <row r="545" spans="1:14" ht="15.75" customHeight="1">
      <c r="A545" s="1">
        <v>0.80070288499999998</v>
      </c>
      <c r="B545" s="1">
        <v>1193</v>
      </c>
      <c r="C545" s="1">
        <v>26</v>
      </c>
      <c r="D545" s="1">
        <v>1801</v>
      </c>
      <c r="E545" s="1">
        <v>36774</v>
      </c>
      <c r="F545" s="1">
        <v>36774</v>
      </c>
      <c r="G545" s="1" t="s">
        <v>23</v>
      </c>
      <c r="H545" s="1">
        <v>0.144736842</v>
      </c>
      <c r="I545" s="1">
        <v>9.4298246000000002E-2</v>
      </c>
      <c r="J545" s="1">
        <v>0.11403508800000001</v>
      </c>
      <c r="K545" s="1">
        <v>0.103070175</v>
      </c>
      <c r="L545" s="1">
        <v>0.54385964899999995</v>
      </c>
      <c r="M545" s="1" t="s">
        <v>16</v>
      </c>
      <c r="N545" s="1" t="s">
        <v>17</v>
      </c>
    </row>
    <row r="546" spans="1:14" ht="15.75" customHeight="1">
      <c r="A546" s="1">
        <v>0.99636693899999995</v>
      </c>
      <c r="B546" s="1">
        <v>1099</v>
      </c>
      <c r="C546" s="1">
        <v>21</v>
      </c>
      <c r="D546" s="1">
        <v>967</v>
      </c>
      <c r="E546" s="1">
        <v>20040</v>
      </c>
      <c r="F546" s="1">
        <v>20040</v>
      </c>
      <c r="G546" s="1" t="s">
        <v>23</v>
      </c>
      <c r="H546" s="1">
        <v>0.25862068999999999</v>
      </c>
      <c r="I546" s="1">
        <v>8.045977E-2</v>
      </c>
      <c r="J546" s="1">
        <v>0.18965517200000001</v>
      </c>
      <c r="K546" s="1">
        <v>0.13218390799999999</v>
      </c>
      <c r="L546" s="1">
        <v>0.33908045999999997</v>
      </c>
      <c r="M546" s="1" t="s">
        <v>16</v>
      </c>
      <c r="N546" s="1" t="s">
        <v>17</v>
      </c>
    </row>
    <row r="547" spans="1:14" ht="15.75" customHeight="1">
      <c r="A547" s="1">
        <v>0.71742957699999998</v>
      </c>
      <c r="B547" s="1">
        <v>1227</v>
      </c>
      <c r="C547" s="1">
        <v>25</v>
      </c>
      <c r="D547" s="1">
        <v>463</v>
      </c>
      <c r="E547" s="1">
        <v>25110</v>
      </c>
      <c r="F547" s="1">
        <v>25110</v>
      </c>
      <c r="G547" s="1" t="s">
        <v>23</v>
      </c>
      <c r="H547" s="1">
        <v>0.21111111099999999</v>
      </c>
      <c r="I547" s="1">
        <v>0.16666666699999999</v>
      </c>
      <c r="J547" s="1">
        <v>0.188888889</v>
      </c>
      <c r="K547" s="1">
        <v>0.133333333</v>
      </c>
      <c r="L547" s="1">
        <v>0.3</v>
      </c>
      <c r="M547" s="1" t="s">
        <v>16</v>
      </c>
      <c r="N547" s="1" t="s">
        <v>17</v>
      </c>
    </row>
    <row r="548" spans="1:14" ht="15.75" customHeight="1">
      <c r="A548" s="1">
        <v>0.71293851399999997</v>
      </c>
      <c r="B548" s="1">
        <v>1281</v>
      </c>
      <c r="C548" s="1">
        <v>28</v>
      </c>
      <c r="D548" s="1">
        <v>1243</v>
      </c>
      <c r="E548" s="1">
        <v>36960</v>
      </c>
      <c r="F548" s="1">
        <v>36960</v>
      </c>
      <c r="G548" s="1" t="s">
        <v>23</v>
      </c>
      <c r="H548" s="1">
        <v>0.21717171699999999</v>
      </c>
      <c r="I548" s="1">
        <v>0.16161616200000001</v>
      </c>
      <c r="J548" s="1">
        <v>0.18686868700000001</v>
      </c>
      <c r="K548" s="1">
        <v>0.16161616200000001</v>
      </c>
      <c r="L548" s="1">
        <v>0.27272727299999999</v>
      </c>
      <c r="M548" s="1" t="s">
        <v>16</v>
      </c>
      <c r="N548" s="1" t="s">
        <v>17</v>
      </c>
    </row>
    <row r="549" spans="1:14" ht="15.75" customHeight="1">
      <c r="A549" s="1">
        <v>0.17360703799999999</v>
      </c>
      <c r="B549" s="1">
        <v>1504</v>
      </c>
      <c r="C549" s="1">
        <v>34</v>
      </c>
      <c r="D549" s="1">
        <v>1884</v>
      </c>
      <c r="E549" s="1">
        <v>64525</v>
      </c>
      <c r="F549" s="1">
        <v>64525</v>
      </c>
      <c r="G549" s="1" t="s">
        <v>23</v>
      </c>
      <c r="H549" s="1">
        <v>9.2307691999999997E-2</v>
      </c>
      <c r="I549" s="1">
        <v>0.13076923100000001</v>
      </c>
      <c r="J549" s="1">
        <v>0.17692307700000001</v>
      </c>
      <c r="K549" s="1">
        <v>9.2307691999999997E-2</v>
      </c>
      <c r="L549" s="1">
        <v>0.50769230799999998</v>
      </c>
      <c r="M549" s="1" t="s">
        <v>16</v>
      </c>
      <c r="N549" s="1" t="s">
        <v>17</v>
      </c>
    </row>
    <row r="550" spans="1:14" ht="15.75" customHeight="1">
      <c r="A550" s="1">
        <v>0.88054607500000004</v>
      </c>
      <c r="B550" s="1">
        <v>1204</v>
      </c>
      <c r="C550" s="1">
        <v>25</v>
      </c>
      <c r="D550" s="1">
        <v>642</v>
      </c>
      <c r="E550" s="1">
        <v>36035</v>
      </c>
      <c r="F550" s="1">
        <v>36035</v>
      </c>
      <c r="G550" s="1" t="s">
        <v>23</v>
      </c>
      <c r="H550" s="1">
        <v>0.10810810799999999</v>
      </c>
      <c r="I550" s="1">
        <v>9.4594595000000004E-2</v>
      </c>
      <c r="J550" s="1">
        <v>0.13513513499999999</v>
      </c>
      <c r="K550" s="1">
        <v>0.243243243</v>
      </c>
      <c r="L550" s="1">
        <v>0.418918919</v>
      </c>
      <c r="M550" s="1" t="s">
        <v>16</v>
      </c>
      <c r="N550" s="1" t="s">
        <v>17</v>
      </c>
    </row>
    <row r="551" spans="1:14" ht="15.75" customHeight="1">
      <c r="A551" s="1">
        <v>0.80526697300000005</v>
      </c>
      <c r="B551" s="1">
        <v>1152</v>
      </c>
      <c r="C551" s="1">
        <v>24</v>
      </c>
      <c r="D551" s="1">
        <v>2350</v>
      </c>
      <c r="E551" s="1">
        <v>50964</v>
      </c>
      <c r="F551" s="1">
        <v>50964</v>
      </c>
      <c r="G551" s="1" t="s">
        <v>23</v>
      </c>
      <c r="H551" s="1">
        <v>0.17241379300000001</v>
      </c>
      <c r="I551" s="1">
        <v>0.163793103</v>
      </c>
      <c r="J551" s="1">
        <v>0.181034483</v>
      </c>
      <c r="K551" s="1">
        <v>0.15229885100000001</v>
      </c>
      <c r="L551" s="1">
        <v>0.33045976999999999</v>
      </c>
      <c r="M551" s="1" t="s">
        <v>16</v>
      </c>
      <c r="N551" s="1" t="s">
        <v>17</v>
      </c>
    </row>
    <row r="552" spans="1:14" ht="15.75" customHeight="1">
      <c r="A552" s="1">
        <v>0.76279740399999996</v>
      </c>
      <c r="B552" s="1">
        <v>1332</v>
      </c>
      <c r="C552" s="1">
        <v>30</v>
      </c>
      <c r="D552" s="1">
        <v>1631</v>
      </c>
      <c r="E552" s="1">
        <v>59900</v>
      </c>
      <c r="F552" s="1">
        <v>59900</v>
      </c>
      <c r="G552" s="1" t="s">
        <v>23</v>
      </c>
      <c r="H552" s="1">
        <v>0.13617021300000001</v>
      </c>
      <c r="I552" s="1">
        <v>0.10212766</v>
      </c>
      <c r="J552" s="1">
        <v>0.123404255</v>
      </c>
      <c r="K552" s="1">
        <v>0.178723404</v>
      </c>
      <c r="L552" s="1">
        <v>0.45957446800000001</v>
      </c>
      <c r="M552" s="1" t="s">
        <v>16</v>
      </c>
      <c r="N552" s="1" t="s">
        <v>17</v>
      </c>
    </row>
    <row r="553" spans="1:14" ht="15.75" customHeight="1">
      <c r="A553" s="1">
        <v>0.75928591999999995</v>
      </c>
      <c r="B553" s="1">
        <v>1057</v>
      </c>
      <c r="C553" s="1">
        <v>19</v>
      </c>
      <c r="D553" s="1">
        <v>1254</v>
      </c>
      <c r="E553" s="1">
        <v>44210</v>
      </c>
      <c r="F553" s="1">
        <v>44210</v>
      </c>
      <c r="G553" s="1" t="s">
        <v>23</v>
      </c>
      <c r="H553" s="1">
        <v>0.20476190499999999</v>
      </c>
      <c r="I553" s="1">
        <v>0.147619048</v>
      </c>
      <c r="J553" s="1">
        <v>0.21428571399999999</v>
      </c>
      <c r="K553" s="1">
        <v>0.13809523800000001</v>
      </c>
      <c r="L553" s="1">
        <v>0.29523809499999998</v>
      </c>
      <c r="M553" s="1" t="s">
        <v>16</v>
      </c>
      <c r="N553" s="1" t="s">
        <v>17</v>
      </c>
    </row>
    <row r="554" spans="1:14" ht="15.75" customHeight="1">
      <c r="A554" s="1">
        <v>0.910905203</v>
      </c>
      <c r="B554" s="1">
        <v>1191</v>
      </c>
      <c r="C554" s="1">
        <v>23</v>
      </c>
      <c r="D554" s="1">
        <v>2073</v>
      </c>
      <c r="E554" s="1">
        <v>38814</v>
      </c>
      <c r="F554" s="1">
        <v>38814</v>
      </c>
      <c r="G554" s="1" t="s">
        <v>23</v>
      </c>
      <c r="H554" s="1">
        <v>0.245856354</v>
      </c>
      <c r="I554" s="1">
        <v>0.18508287300000001</v>
      </c>
      <c r="J554" s="1">
        <v>0.15469613300000001</v>
      </c>
      <c r="K554" s="1">
        <v>0.14640884000000001</v>
      </c>
      <c r="L554" s="1">
        <v>0.26795580099999999</v>
      </c>
      <c r="M554" s="1" t="s">
        <v>16</v>
      </c>
      <c r="N554" s="1" t="s">
        <v>17</v>
      </c>
    </row>
    <row r="555" spans="1:14" ht="15.75" customHeight="1">
      <c r="A555" s="1">
        <v>0.76047237099999998</v>
      </c>
      <c r="B555" s="1">
        <v>1266</v>
      </c>
      <c r="C555" s="1">
        <v>27</v>
      </c>
      <c r="D555" s="1">
        <v>4117</v>
      </c>
      <c r="E555" s="1">
        <v>54285</v>
      </c>
      <c r="F555" s="1">
        <v>54285</v>
      </c>
      <c r="G555" s="1" t="s">
        <v>23</v>
      </c>
      <c r="H555" s="1">
        <v>0.17224880400000001</v>
      </c>
      <c r="I555" s="1">
        <v>0.135566188</v>
      </c>
      <c r="J555" s="1">
        <v>0.135566188</v>
      </c>
      <c r="K555" s="1">
        <v>0.124401914</v>
      </c>
      <c r="L555" s="1">
        <v>0.43221690600000001</v>
      </c>
      <c r="M555" s="1" t="s">
        <v>16</v>
      </c>
      <c r="N555" s="1" t="s">
        <v>17</v>
      </c>
    </row>
    <row r="556" spans="1:14" ht="15.75" customHeight="1">
      <c r="A556" s="1">
        <v>0.499919159</v>
      </c>
      <c r="B556" s="1">
        <v>1365</v>
      </c>
      <c r="C556" s="1">
        <v>30</v>
      </c>
      <c r="D556" s="1">
        <v>1523</v>
      </c>
      <c r="E556" s="1">
        <v>61492</v>
      </c>
      <c r="F556" s="1">
        <v>61492</v>
      </c>
      <c r="G556" s="1" t="s">
        <v>23</v>
      </c>
      <c r="H556" s="1">
        <v>0.15757575800000001</v>
      </c>
      <c r="I556" s="1">
        <v>0.103030303</v>
      </c>
      <c r="J556" s="1">
        <v>0.13939393899999999</v>
      </c>
      <c r="K556" s="1">
        <v>9.6969696999999994E-2</v>
      </c>
      <c r="L556" s="1">
        <v>0.50303030299999996</v>
      </c>
      <c r="M556" s="1" t="s">
        <v>16</v>
      </c>
      <c r="N556" s="1" t="s">
        <v>17</v>
      </c>
    </row>
    <row r="557" spans="1:14" ht="15.75" customHeight="1">
      <c r="A557" s="1">
        <v>0.86772151900000005</v>
      </c>
      <c r="B557" s="1">
        <v>1212</v>
      </c>
      <c r="C557" s="1">
        <v>25</v>
      </c>
      <c r="D557" s="1">
        <v>1927</v>
      </c>
      <c r="E557" s="1">
        <v>50920</v>
      </c>
      <c r="F557" s="1">
        <v>50920</v>
      </c>
      <c r="G557" s="1" t="s">
        <v>23</v>
      </c>
      <c r="H557" s="1">
        <v>0.18152866200000001</v>
      </c>
      <c r="I557" s="1">
        <v>0.10191082799999999</v>
      </c>
      <c r="J557" s="1">
        <v>0.18152866200000001</v>
      </c>
      <c r="K557" s="1">
        <v>0.121019108</v>
      </c>
      <c r="L557" s="1">
        <v>0.41401273900000002</v>
      </c>
      <c r="M557" s="1" t="s">
        <v>16</v>
      </c>
      <c r="N557" s="1" t="s">
        <v>17</v>
      </c>
    </row>
    <row r="558" spans="1:14" ht="15.75" customHeight="1">
      <c r="A558" s="1">
        <v>0.985714286</v>
      </c>
      <c r="B558" s="1">
        <v>1068</v>
      </c>
      <c r="C558" s="1">
        <v>19</v>
      </c>
      <c r="D558" s="1">
        <v>168</v>
      </c>
      <c r="E558" s="1">
        <v>18230</v>
      </c>
      <c r="F558" s="1">
        <v>18230</v>
      </c>
      <c r="G558" s="1" t="s">
        <v>23</v>
      </c>
      <c r="H558" s="1">
        <v>0.15</v>
      </c>
      <c r="I558" s="1">
        <v>0.35</v>
      </c>
      <c r="J558" s="1">
        <v>0.3</v>
      </c>
      <c r="K558" s="1">
        <v>0.05</v>
      </c>
      <c r="L558" s="1">
        <v>0.15</v>
      </c>
      <c r="M558" s="1" t="s">
        <v>16</v>
      </c>
      <c r="N558" s="1" t="s">
        <v>17</v>
      </c>
    </row>
    <row r="559" spans="1:14" ht="15.75" customHeight="1">
      <c r="A559" s="1">
        <v>0.58234660900000002</v>
      </c>
      <c r="B559" s="1">
        <v>985</v>
      </c>
      <c r="C559" s="1">
        <v>5</v>
      </c>
      <c r="D559" s="1">
        <v>681</v>
      </c>
      <c r="E559" s="1">
        <v>31270</v>
      </c>
      <c r="F559" s="1">
        <v>31270</v>
      </c>
      <c r="G559" s="1" t="s">
        <v>23</v>
      </c>
      <c r="H559" s="1">
        <v>0.25954198499999998</v>
      </c>
      <c r="I559" s="1">
        <v>0.129770992</v>
      </c>
      <c r="J559" s="1">
        <v>0.21374045799999999</v>
      </c>
      <c r="K559" s="1">
        <v>0.16793893100000001</v>
      </c>
      <c r="L559" s="1">
        <v>0.22900763399999999</v>
      </c>
      <c r="M559" s="1" t="s">
        <v>16</v>
      </c>
      <c r="N559" s="1" t="s">
        <v>17</v>
      </c>
    </row>
    <row r="560" spans="1:14" ht="15.75" customHeight="1">
      <c r="A560" s="1">
        <v>0.95046001400000002</v>
      </c>
      <c r="B560" s="1">
        <v>1045</v>
      </c>
      <c r="C560" s="1">
        <v>21</v>
      </c>
      <c r="D560" s="1">
        <v>909</v>
      </c>
      <c r="E560" s="1">
        <v>33494</v>
      </c>
      <c r="F560" s="1">
        <v>33494</v>
      </c>
      <c r="G560" s="1" t="s">
        <v>23</v>
      </c>
      <c r="H560" s="1">
        <v>0.22709163299999999</v>
      </c>
      <c r="I560" s="1">
        <v>0.139442231</v>
      </c>
      <c r="J560" s="1">
        <v>0.14741035899999999</v>
      </c>
      <c r="K560" s="1">
        <v>0.187250996</v>
      </c>
      <c r="L560" s="1">
        <v>0.29880478100000002</v>
      </c>
      <c r="M560" s="1" t="s">
        <v>16</v>
      </c>
      <c r="N560" s="1" t="s">
        <v>17</v>
      </c>
    </row>
    <row r="561" spans="1:14" ht="15.75" customHeight="1">
      <c r="A561" s="1">
        <v>0.573582013</v>
      </c>
      <c r="B561" s="1">
        <v>1318</v>
      </c>
      <c r="C561" s="1">
        <v>29</v>
      </c>
      <c r="D561" s="1">
        <v>898</v>
      </c>
      <c r="E561" s="1">
        <v>58554</v>
      </c>
      <c r="F561" s="1">
        <v>58554</v>
      </c>
      <c r="G561" s="1" t="s">
        <v>23</v>
      </c>
      <c r="H561" s="1">
        <v>0.18115941999999999</v>
      </c>
      <c r="I561" s="1">
        <v>0.16666666699999999</v>
      </c>
      <c r="J561" s="1">
        <v>0.21739130400000001</v>
      </c>
      <c r="K561" s="1">
        <v>0.15217391299999999</v>
      </c>
      <c r="L561" s="1">
        <v>0.28260869599999999</v>
      </c>
      <c r="M561" s="1" t="s">
        <v>16</v>
      </c>
      <c r="N561" s="1" t="s">
        <v>17</v>
      </c>
    </row>
    <row r="562" spans="1:14" ht="15.75" customHeight="1">
      <c r="A562" s="1">
        <v>0.58405894199999997</v>
      </c>
      <c r="B562" s="1">
        <v>1209</v>
      </c>
      <c r="C562" s="1">
        <v>25</v>
      </c>
      <c r="D562" s="1">
        <v>2525</v>
      </c>
      <c r="E562" s="1">
        <v>37230</v>
      </c>
      <c r="F562" s="1">
        <v>37230</v>
      </c>
      <c r="G562" s="1" t="s">
        <v>23</v>
      </c>
      <c r="H562" s="1">
        <v>0.107758621</v>
      </c>
      <c r="I562" s="1">
        <v>0.107758621</v>
      </c>
      <c r="J562" s="1">
        <v>0.17456896599999999</v>
      </c>
      <c r="K562" s="1">
        <v>0.170258621</v>
      </c>
      <c r="L562" s="1">
        <v>0.43965517199999998</v>
      </c>
      <c r="M562" s="1" t="s">
        <v>16</v>
      </c>
      <c r="N562" s="1" t="s">
        <v>17</v>
      </c>
    </row>
    <row r="563" spans="1:14" ht="15.75" customHeight="1">
      <c r="A563" s="1">
        <v>0.84149676799999995</v>
      </c>
      <c r="B563" s="1">
        <v>1113</v>
      </c>
      <c r="C563" s="1">
        <v>22</v>
      </c>
      <c r="D563" s="1">
        <v>2628</v>
      </c>
      <c r="E563" s="1">
        <v>36500</v>
      </c>
      <c r="F563" s="1">
        <v>36500</v>
      </c>
      <c r="G563" s="1" t="s">
        <v>23</v>
      </c>
      <c r="H563" s="1">
        <v>0.127536232</v>
      </c>
      <c r="I563" s="1">
        <v>8.5507245999999995E-2</v>
      </c>
      <c r="J563" s="1">
        <v>0.117391304</v>
      </c>
      <c r="K563" s="1">
        <v>0.16811594199999999</v>
      </c>
      <c r="L563" s="1">
        <v>0.50144927500000003</v>
      </c>
      <c r="M563" s="1" t="s">
        <v>16</v>
      </c>
      <c r="N563" s="1" t="s">
        <v>17</v>
      </c>
    </row>
    <row r="564" spans="1:14" ht="15.75" customHeight="1">
      <c r="A564" s="1">
        <v>0.69137389299999996</v>
      </c>
      <c r="B564" s="1">
        <v>1250</v>
      </c>
      <c r="C564" s="1">
        <v>26</v>
      </c>
      <c r="D564" s="1">
        <v>2310</v>
      </c>
      <c r="E564" s="1">
        <v>34250</v>
      </c>
      <c r="F564" s="1">
        <v>34250</v>
      </c>
      <c r="G564" s="1" t="s">
        <v>23</v>
      </c>
      <c r="H564" s="1">
        <v>0.130718954</v>
      </c>
      <c r="I564" s="1">
        <v>0.12091503300000001</v>
      </c>
      <c r="J564" s="1">
        <v>0.130718954</v>
      </c>
      <c r="K564" s="1">
        <v>0.19281045799999999</v>
      </c>
      <c r="L564" s="1">
        <v>0.42483660099999998</v>
      </c>
      <c r="M564" s="1" t="s">
        <v>16</v>
      </c>
      <c r="N564" s="1" t="s">
        <v>17</v>
      </c>
    </row>
    <row r="565" spans="1:14" ht="15.75" customHeight="1">
      <c r="A565" s="1">
        <v>0.63026655200000004</v>
      </c>
      <c r="B565" s="1">
        <v>1349</v>
      </c>
      <c r="C565" s="1">
        <v>30</v>
      </c>
      <c r="D565" s="1">
        <v>1394</v>
      </c>
      <c r="E565" s="1">
        <v>55461</v>
      </c>
      <c r="F565" s="1">
        <v>55461</v>
      </c>
      <c r="G565" s="1" t="s">
        <v>23</v>
      </c>
      <c r="H565" s="1">
        <v>0.134199134</v>
      </c>
      <c r="I565" s="1">
        <v>6.4935065E-2</v>
      </c>
      <c r="J565" s="1">
        <v>0.16017316000000001</v>
      </c>
      <c r="K565" s="1">
        <v>0.16017316000000001</v>
      </c>
      <c r="L565" s="1">
        <v>0.48051948100000003</v>
      </c>
      <c r="M565" s="1" t="s">
        <v>16</v>
      </c>
      <c r="N565" s="1" t="s">
        <v>17</v>
      </c>
    </row>
    <row r="566" spans="1:14" ht="15.75" customHeight="1">
      <c r="A566" s="1">
        <v>0.70873786400000005</v>
      </c>
      <c r="B566" s="1">
        <v>1141</v>
      </c>
      <c r="C566" s="1">
        <v>23</v>
      </c>
      <c r="D566" s="1">
        <v>566</v>
      </c>
      <c r="E566" s="1">
        <v>20280</v>
      </c>
      <c r="F566" s="1">
        <v>20280</v>
      </c>
      <c r="G566" s="1" t="s">
        <v>23</v>
      </c>
      <c r="H566" s="1">
        <v>0.15625</v>
      </c>
      <c r="I566" s="1">
        <v>0.171875</v>
      </c>
      <c r="J566" s="1">
        <v>0.34375</v>
      </c>
      <c r="K566" s="1">
        <v>0.203125</v>
      </c>
      <c r="L566" s="1">
        <v>0.125</v>
      </c>
      <c r="M566" s="1" t="s">
        <v>16</v>
      </c>
      <c r="N566" s="1" t="s">
        <v>17</v>
      </c>
    </row>
    <row r="567" spans="1:14" ht="15.75" customHeight="1">
      <c r="A567" s="1">
        <v>0.62795089699999995</v>
      </c>
      <c r="B567" s="1">
        <v>1155</v>
      </c>
      <c r="C567" s="1">
        <v>24</v>
      </c>
      <c r="D567" s="1">
        <v>883</v>
      </c>
      <c r="E567" s="1">
        <v>42268</v>
      </c>
      <c r="F567" s="1">
        <v>42268</v>
      </c>
      <c r="G567" s="1" t="s">
        <v>23</v>
      </c>
      <c r="H567" s="1">
        <v>0.140625</v>
      </c>
      <c r="I567" s="1">
        <v>0.125</v>
      </c>
      <c r="J567" s="1">
        <v>0.1875</v>
      </c>
      <c r="K567" s="1">
        <v>0.171875</v>
      </c>
      <c r="L567" s="1">
        <v>0.375</v>
      </c>
      <c r="M567" s="1" t="s">
        <v>16</v>
      </c>
      <c r="N567" s="1" t="s">
        <v>17</v>
      </c>
    </row>
    <row r="568" spans="1:14" ht="15.75" customHeight="1">
      <c r="A568" s="1">
        <v>0.93354769599999998</v>
      </c>
      <c r="B568" s="1">
        <v>1050</v>
      </c>
      <c r="C568" s="1">
        <v>20</v>
      </c>
      <c r="D568" s="1">
        <v>703</v>
      </c>
      <c r="E568" s="1">
        <v>34390</v>
      </c>
      <c r="F568" s="1">
        <v>34390</v>
      </c>
      <c r="G568" s="1" t="s">
        <v>23</v>
      </c>
      <c r="H568" s="1">
        <v>0.3125</v>
      </c>
      <c r="I568" s="1">
        <v>0.26388888900000002</v>
      </c>
      <c r="J568" s="1">
        <v>0.18055555600000001</v>
      </c>
      <c r="K568" s="1">
        <v>0.18055555600000001</v>
      </c>
      <c r="L568" s="1">
        <v>6.25E-2</v>
      </c>
      <c r="M568" s="1" t="s">
        <v>16</v>
      </c>
      <c r="N568" s="1" t="s">
        <v>17</v>
      </c>
    </row>
    <row r="569" spans="1:14" ht="15.75" customHeight="1">
      <c r="A569" s="1">
        <v>0.71812080499999997</v>
      </c>
      <c r="B569" s="1">
        <v>1153</v>
      </c>
      <c r="C569" s="1">
        <v>23</v>
      </c>
      <c r="D569" s="1">
        <v>457</v>
      </c>
      <c r="E569" s="1">
        <v>42491</v>
      </c>
      <c r="F569" s="1">
        <v>42491</v>
      </c>
      <c r="G569" s="1" t="s">
        <v>23</v>
      </c>
      <c r="H569" s="1">
        <v>0.177777778</v>
      </c>
      <c r="I569" s="1">
        <v>0.15555555600000001</v>
      </c>
      <c r="J569" s="1">
        <v>0.33333333300000001</v>
      </c>
      <c r="K569" s="1">
        <v>0.222222222</v>
      </c>
      <c r="L569" s="1">
        <v>0.111111111</v>
      </c>
      <c r="M569" s="1" t="s">
        <v>16</v>
      </c>
      <c r="N569" s="1" t="s">
        <v>17</v>
      </c>
    </row>
    <row r="570" spans="1:14" ht="15.75" customHeight="1">
      <c r="A570" s="1">
        <v>0.83917640500000001</v>
      </c>
      <c r="B570" s="1">
        <v>1143</v>
      </c>
      <c r="C570" s="1">
        <v>23</v>
      </c>
      <c r="D570" s="1">
        <v>720</v>
      </c>
      <c r="E570" s="1">
        <v>50700</v>
      </c>
      <c r="F570" s="1">
        <v>50700</v>
      </c>
      <c r="G570" s="1" t="s">
        <v>23</v>
      </c>
      <c r="H570" s="1">
        <v>0.16129032300000001</v>
      </c>
      <c r="I570" s="1">
        <v>9.6774193999999994E-2</v>
      </c>
      <c r="J570" s="1">
        <v>0.2</v>
      </c>
      <c r="K570" s="1">
        <v>0.25806451600000002</v>
      </c>
      <c r="L570" s="1">
        <v>0.283870968</v>
      </c>
      <c r="M570" s="1" t="s">
        <v>16</v>
      </c>
      <c r="N570" s="1" t="s">
        <v>17</v>
      </c>
    </row>
    <row r="571" spans="1:14" ht="15.75" customHeight="1">
      <c r="A571" s="1">
        <v>0.92150988599999994</v>
      </c>
      <c r="B571" s="1">
        <v>1233</v>
      </c>
      <c r="C571" s="1">
        <v>26</v>
      </c>
      <c r="D571" s="1">
        <v>1749</v>
      </c>
      <c r="E571" s="1">
        <v>44432</v>
      </c>
      <c r="F571" s="1">
        <v>44432</v>
      </c>
      <c r="G571" s="1" t="s">
        <v>23</v>
      </c>
      <c r="H571" s="1">
        <v>0.104377104</v>
      </c>
      <c r="I571" s="1">
        <v>0.10774410800000001</v>
      </c>
      <c r="J571" s="1">
        <v>0.158249158</v>
      </c>
      <c r="K571" s="1">
        <v>0.208754209</v>
      </c>
      <c r="L571" s="1">
        <v>0.42087542100000003</v>
      </c>
      <c r="M571" s="1" t="s">
        <v>16</v>
      </c>
      <c r="N571" s="1" t="s">
        <v>17</v>
      </c>
    </row>
    <row r="572" spans="1:14" ht="15.75" customHeight="1">
      <c r="A572" s="1">
        <v>0.73266618999999999</v>
      </c>
      <c r="B572" s="1">
        <v>1184</v>
      </c>
      <c r="C572" s="1">
        <v>24</v>
      </c>
      <c r="D572" s="1">
        <v>1392</v>
      </c>
      <c r="E572" s="1">
        <v>32350</v>
      </c>
      <c r="F572" s="1">
        <v>32350</v>
      </c>
      <c r="G572" s="1" t="s">
        <v>23</v>
      </c>
      <c r="H572" s="1">
        <v>9.1463415000000006E-2</v>
      </c>
      <c r="I572" s="1">
        <v>8.5365854000000005E-2</v>
      </c>
      <c r="J572" s="1">
        <v>0.18292682900000001</v>
      </c>
      <c r="K572" s="1">
        <v>0.231707317</v>
      </c>
      <c r="L572" s="1">
        <v>0.40853658500000001</v>
      </c>
      <c r="M572" s="1" t="s">
        <v>16</v>
      </c>
      <c r="N572" s="1" t="s">
        <v>17</v>
      </c>
    </row>
    <row r="573" spans="1:14" ht="15.75" customHeight="1">
      <c r="A573" s="1">
        <v>0.79047103399999996</v>
      </c>
      <c r="B573" s="1">
        <v>1214</v>
      </c>
      <c r="C573" s="1">
        <v>25</v>
      </c>
      <c r="D573" s="1">
        <v>1009</v>
      </c>
      <c r="E573" s="1">
        <v>35080</v>
      </c>
      <c r="F573" s="1">
        <v>35080</v>
      </c>
      <c r="G573" s="1" t="s">
        <v>23</v>
      </c>
      <c r="H573" s="1">
        <v>0.116182573</v>
      </c>
      <c r="I573" s="1">
        <v>0.10373444</v>
      </c>
      <c r="J573" s="1">
        <v>0.186721992</v>
      </c>
      <c r="K573" s="1">
        <v>0.248962656</v>
      </c>
      <c r="L573" s="1">
        <v>0.34439834000000003</v>
      </c>
      <c r="M573" s="1" t="s">
        <v>16</v>
      </c>
      <c r="N573" s="1" t="s">
        <v>17</v>
      </c>
    </row>
    <row r="574" spans="1:14" ht="15.75" customHeight="1">
      <c r="A574" s="1">
        <v>0.49460043199999998</v>
      </c>
      <c r="B574" s="1">
        <v>1367</v>
      </c>
      <c r="C574" s="1">
        <v>30</v>
      </c>
      <c r="D574" s="1">
        <v>369</v>
      </c>
      <c r="E574" s="1">
        <v>38946</v>
      </c>
      <c r="F574" s="1">
        <v>38946</v>
      </c>
      <c r="G574" s="1" t="s">
        <v>23</v>
      </c>
      <c r="H574" s="1">
        <v>0.20408163300000001</v>
      </c>
      <c r="I574" s="1">
        <v>0.14285714299999999</v>
      </c>
      <c r="J574" s="1">
        <v>0.163265306</v>
      </c>
      <c r="K574" s="1">
        <v>0.12244898</v>
      </c>
      <c r="L574" s="1">
        <v>0.36734693899999998</v>
      </c>
      <c r="M574" s="1" t="s">
        <v>16</v>
      </c>
      <c r="N574" s="1" t="s">
        <v>17</v>
      </c>
    </row>
    <row r="575" spans="1:14" ht="15.75" customHeight="1">
      <c r="A575" s="1">
        <v>1</v>
      </c>
      <c r="B575" s="1">
        <v>1020</v>
      </c>
      <c r="C575" s="1">
        <v>19</v>
      </c>
      <c r="D575" s="1">
        <v>146</v>
      </c>
      <c r="E575" s="1">
        <v>11691</v>
      </c>
      <c r="F575" s="1">
        <v>11691</v>
      </c>
      <c r="G575" s="1" t="s">
        <v>23</v>
      </c>
      <c r="H575" s="1">
        <v>0.5</v>
      </c>
      <c r="I575" s="1">
        <v>0</v>
      </c>
      <c r="J575" s="1">
        <v>0.5</v>
      </c>
      <c r="K575" s="1">
        <v>0</v>
      </c>
      <c r="L575" s="1">
        <v>0</v>
      </c>
      <c r="M575" s="1" t="s">
        <v>16</v>
      </c>
      <c r="N575" s="1" t="s">
        <v>17</v>
      </c>
    </row>
    <row r="576" spans="1:14" ht="15.75" customHeight="1">
      <c r="A576" s="1">
        <v>0.67846353000000004</v>
      </c>
      <c r="B576" s="1">
        <v>1193</v>
      </c>
      <c r="C576" s="1">
        <v>27</v>
      </c>
      <c r="D576" s="1">
        <v>8786</v>
      </c>
      <c r="E576" s="1">
        <v>11665</v>
      </c>
      <c r="F576" s="1">
        <v>11665</v>
      </c>
      <c r="G576" s="1" t="s">
        <v>23</v>
      </c>
      <c r="H576" s="1">
        <v>0.5</v>
      </c>
      <c r="I576" s="1">
        <v>0.20588235299999999</v>
      </c>
      <c r="J576" s="1">
        <v>0.17647058800000001</v>
      </c>
      <c r="K576" s="1">
        <v>8.8235294000000006E-2</v>
      </c>
      <c r="L576" s="1">
        <v>2.9411764999999999E-2</v>
      </c>
      <c r="M576" s="1" t="s">
        <v>16</v>
      </c>
      <c r="N576" s="1" t="s">
        <v>17</v>
      </c>
    </row>
    <row r="577" spans="1:18" ht="15.75" customHeight="1">
      <c r="A577" s="1">
        <v>0.21659482799999999</v>
      </c>
      <c r="B577" s="1">
        <v>1540</v>
      </c>
      <c r="C577" s="1">
        <v>35</v>
      </c>
      <c r="D577" s="1">
        <v>373</v>
      </c>
      <c r="E577" s="1">
        <v>64458</v>
      </c>
      <c r="F577" s="1">
        <v>64458</v>
      </c>
      <c r="G577" s="1" t="s">
        <v>23</v>
      </c>
      <c r="H577" s="1">
        <v>0.366666667</v>
      </c>
      <c r="I577" s="1">
        <v>3.3333333E-2</v>
      </c>
      <c r="J577" s="1">
        <v>0.2</v>
      </c>
      <c r="K577" s="1">
        <v>0.133333333</v>
      </c>
      <c r="L577" s="1">
        <v>0.26666666700000002</v>
      </c>
      <c r="M577" s="1" t="s">
        <v>16</v>
      </c>
      <c r="N577" s="1" t="s">
        <v>17</v>
      </c>
    </row>
    <row r="578" spans="1:18" ht="15.75" customHeight="1">
      <c r="A578" s="1">
        <v>0.79941277600000005</v>
      </c>
      <c r="B578" s="1">
        <v>1015</v>
      </c>
      <c r="C578" s="1">
        <v>19</v>
      </c>
      <c r="D578" s="1">
        <v>1126</v>
      </c>
      <c r="E578" s="1">
        <v>40408</v>
      </c>
      <c r="F578" s="1">
        <v>40408</v>
      </c>
      <c r="G578" s="1" t="s">
        <v>23</v>
      </c>
      <c r="H578" s="1">
        <v>0.30924855499999998</v>
      </c>
      <c r="I578" s="1">
        <v>0.16184971100000001</v>
      </c>
      <c r="J578" s="1">
        <v>0.182080925</v>
      </c>
      <c r="K578" s="1">
        <v>0.130057803</v>
      </c>
      <c r="L578" s="1">
        <v>0.21676300600000001</v>
      </c>
      <c r="M578" s="1" t="s">
        <v>16</v>
      </c>
      <c r="N578" s="1" t="s">
        <v>17</v>
      </c>
    </row>
    <row r="579" spans="1:18" ht="15.75" customHeight="1">
      <c r="A579" s="1">
        <v>0.28676470599999998</v>
      </c>
      <c r="B579" s="1">
        <v>1050</v>
      </c>
      <c r="C579" s="1">
        <v>20</v>
      </c>
      <c r="D579" s="1">
        <v>164</v>
      </c>
      <c r="E579" s="1">
        <v>22000</v>
      </c>
      <c r="F579" s="1">
        <v>22000</v>
      </c>
      <c r="G579" s="1" t="s">
        <v>23</v>
      </c>
      <c r="H579" s="1">
        <v>9.0909090999999997E-2</v>
      </c>
      <c r="I579" s="1">
        <v>0.36363636399999999</v>
      </c>
      <c r="J579" s="1">
        <v>0.15151515199999999</v>
      </c>
      <c r="K579" s="1">
        <v>6.0606061000000003E-2</v>
      </c>
      <c r="L579" s="1">
        <v>0.33333333300000001</v>
      </c>
      <c r="M579" s="1" t="s">
        <v>16</v>
      </c>
      <c r="N579" s="1" t="s">
        <v>17</v>
      </c>
    </row>
    <row r="580" spans="1:18" ht="15.75" customHeight="1">
      <c r="A580" s="1">
        <v>0.79285714299999999</v>
      </c>
      <c r="B580" s="1">
        <v>1181</v>
      </c>
      <c r="C580" s="1">
        <v>25</v>
      </c>
      <c r="D580" s="1">
        <v>297</v>
      </c>
      <c r="E580" s="1">
        <v>29500</v>
      </c>
      <c r="F580" s="1">
        <v>29500</v>
      </c>
      <c r="G580" s="1" t="s">
        <v>23</v>
      </c>
      <c r="H580" s="1">
        <v>0.256410256</v>
      </c>
      <c r="I580" s="1">
        <v>0.14102564100000001</v>
      </c>
      <c r="J580" s="1">
        <v>0.16666666699999999</v>
      </c>
      <c r="K580" s="1">
        <v>0.179487179</v>
      </c>
      <c r="L580" s="1">
        <v>0.256410256</v>
      </c>
      <c r="M580" s="1" t="s">
        <v>16</v>
      </c>
      <c r="N580" s="1" t="s">
        <v>17</v>
      </c>
    </row>
    <row r="581" spans="1:18" ht="15.75" customHeight="1">
      <c r="A581" s="1">
        <v>0.690260133</v>
      </c>
      <c r="B581" s="1">
        <v>978</v>
      </c>
      <c r="C581" s="1">
        <v>18</v>
      </c>
      <c r="D581" s="1">
        <v>768</v>
      </c>
      <c r="E581" s="1">
        <v>35300</v>
      </c>
      <c r="F581" s="1">
        <v>35300</v>
      </c>
      <c r="G581" s="1" t="s">
        <v>23</v>
      </c>
      <c r="H581" s="1">
        <v>0.15217391299999999</v>
      </c>
      <c r="I581" s="1">
        <v>0.113043478</v>
      </c>
      <c r="J581" s="1">
        <v>0.117391304</v>
      </c>
      <c r="K581" s="1">
        <v>0.22173913000000001</v>
      </c>
      <c r="L581" s="1">
        <v>0.39565217400000002</v>
      </c>
      <c r="M581" s="1" t="s">
        <v>16</v>
      </c>
      <c r="N581" s="1" t="s">
        <v>17</v>
      </c>
    </row>
    <row r="582" spans="1:18" ht="15.75" customHeight="1">
      <c r="A582" s="1">
        <v>0.62068965499999995</v>
      </c>
      <c r="B582" s="1">
        <v>1137</v>
      </c>
      <c r="C582" s="1">
        <v>23</v>
      </c>
      <c r="D582" s="1">
        <v>140</v>
      </c>
      <c r="E582" s="1">
        <v>20572</v>
      </c>
      <c r="F582" s="1">
        <v>20572</v>
      </c>
      <c r="G582" s="1" t="s">
        <v>23</v>
      </c>
      <c r="H582" s="1">
        <v>1</v>
      </c>
      <c r="I582" s="1">
        <v>0</v>
      </c>
      <c r="J582" s="1">
        <v>0</v>
      </c>
      <c r="K582" s="1">
        <v>0</v>
      </c>
      <c r="L582" s="1">
        <v>0</v>
      </c>
      <c r="M582" s="1" t="s">
        <v>16</v>
      </c>
      <c r="N582" s="1" t="s">
        <v>17</v>
      </c>
    </row>
    <row r="583" spans="1:18" ht="15.75" customHeight="1">
      <c r="A583" s="1">
        <v>0.70274914099999997</v>
      </c>
      <c r="B583" s="1">
        <v>1195</v>
      </c>
      <c r="C583" s="1">
        <v>24</v>
      </c>
      <c r="D583" s="1">
        <v>783</v>
      </c>
      <c r="E583" s="1">
        <v>39350</v>
      </c>
      <c r="F583" s="1">
        <v>39350</v>
      </c>
      <c r="G583" s="1" t="s">
        <v>23</v>
      </c>
      <c r="H583" s="1">
        <v>9.8039215999999998E-2</v>
      </c>
      <c r="I583" s="1">
        <v>0.13725490200000001</v>
      </c>
      <c r="J583" s="1">
        <v>0.225490196</v>
      </c>
      <c r="K583" s="1">
        <v>0.17647058800000001</v>
      </c>
      <c r="L583" s="1">
        <v>0.36274509799999999</v>
      </c>
      <c r="M583" s="1" t="s">
        <v>16</v>
      </c>
      <c r="N583" s="1" t="s">
        <v>17</v>
      </c>
    </row>
    <row r="584" spans="1:18" ht="15.75" customHeight="1">
      <c r="A584" s="1">
        <v>0.13467131500000001</v>
      </c>
      <c r="B584" s="1">
        <v>1513</v>
      </c>
      <c r="C584" s="1">
        <v>34</v>
      </c>
      <c r="D584" s="1">
        <v>973</v>
      </c>
      <c r="E584" s="1">
        <v>60774</v>
      </c>
      <c r="F584" s="1">
        <v>60774</v>
      </c>
      <c r="G584" s="1" t="s">
        <v>23</v>
      </c>
      <c r="H584" s="1">
        <v>0.2</v>
      </c>
      <c r="I584" s="1">
        <v>0.10666666700000001</v>
      </c>
      <c r="J584" s="1">
        <v>0.17333333300000001</v>
      </c>
      <c r="K584" s="1">
        <v>0.133333333</v>
      </c>
      <c r="L584" s="1">
        <v>0.38666666700000002</v>
      </c>
      <c r="M584" s="1" t="s">
        <v>16</v>
      </c>
      <c r="N584" s="1" t="s">
        <v>17</v>
      </c>
    </row>
    <row r="585" spans="1:18" ht="15.75" customHeight="1">
      <c r="A585" s="1">
        <v>0.83870967699999999</v>
      </c>
      <c r="B585" s="1">
        <v>1035</v>
      </c>
      <c r="C585" s="1">
        <v>20</v>
      </c>
      <c r="D585" s="1">
        <v>512</v>
      </c>
      <c r="E585" s="1">
        <v>8506</v>
      </c>
      <c r="F585" s="1">
        <v>8506</v>
      </c>
      <c r="G585" s="1" t="s">
        <v>23</v>
      </c>
      <c r="H585" s="1">
        <v>0.43243243199999998</v>
      </c>
      <c r="I585" s="1">
        <v>0.35135135099999998</v>
      </c>
      <c r="J585" s="1">
        <v>0.21621621599999999</v>
      </c>
      <c r="K585" s="1">
        <v>0</v>
      </c>
      <c r="L585" s="1">
        <v>0</v>
      </c>
      <c r="M585" s="1" t="s">
        <v>16</v>
      </c>
      <c r="N585" s="1" t="s">
        <v>17</v>
      </c>
      <c r="Q585" s="1">
        <f>961-586</f>
        <v>375</v>
      </c>
    </row>
    <row r="586" spans="1:18" ht="15.75" customHeight="1">
      <c r="A586" s="1">
        <v>0.179409348</v>
      </c>
      <c r="B586" s="1">
        <v>1473</v>
      </c>
      <c r="C586" s="1">
        <v>33</v>
      </c>
      <c r="D586" s="1">
        <v>33488</v>
      </c>
      <c r="E586" s="1">
        <v>17228</v>
      </c>
      <c r="F586" s="1">
        <v>58072</v>
      </c>
      <c r="G586" s="1" t="s">
        <v>54</v>
      </c>
      <c r="H586" s="1">
        <v>0.201232033</v>
      </c>
      <c r="I586" s="1">
        <v>0.138945927</v>
      </c>
      <c r="J586" s="1">
        <v>0.169746749</v>
      </c>
      <c r="K586" s="1">
        <v>0.14168377800000001</v>
      </c>
      <c r="L586" s="1">
        <v>0.34839151299999999</v>
      </c>
      <c r="M586" s="1">
        <v>21</v>
      </c>
      <c r="N586" s="1" t="s">
        <v>25</v>
      </c>
    </row>
    <row r="587" spans="1:18" ht="15.75" customHeight="1">
      <c r="A587" s="1">
        <v>0.168642089</v>
      </c>
      <c r="B587" s="1">
        <v>1488</v>
      </c>
      <c r="C587" s="1">
        <v>33</v>
      </c>
      <c r="D587" s="1">
        <v>17315</v>
      </c>
      <c r="E587" s="1">
        <v>20986</v>
      </c>
      <c r="F587" s="1">
        <v>58014</v>
      </c>
      <c r="G587" s="1" t="s">
        <v>54</v>
      </c>
      <c r="H587" s="1">
        <v>0.184549356</v>
      </c>
      <c r="I587" s="1">
        <v>0.108726753</v>
      </c>
      <c r="J587" s="1">
        <v>0.153075823</v>
      </c>
      <c r="K587" s="1">
        <v>0.134477825</v>
      </c>
      <c r="L587" s="1">
        <v>0.419170243</v>
      </c>
      <c r="M587" s="1">
        <v>24</v>
      </c>
      <c r="N587" s="1" t="s">
        <v>25</v>
      </c>
    </row>
    <row r="588" spans="1:18" ht="15.75" customHeight="1">
      <c r="A588" s="1">
        <v>0.18738558299999999</v>
      </c>
      <c r="B588" s="1">
        <v>1454</v>
      </c>
      <c r="C588" s="1">
        <v>32</v>
      </c>
      <c r="D588" s="1">
        <v>20556</v>
      </c>
      <c r="E588" s="1">
        <v>8989</v>
      </c>
      <c r="F588" s="1">
        <v>39330</v>
      </c>
      <c r="G588" s="1" t="s">
        <v>54</v>
      </c>
      <c r="H588" s="1">
        <v>0.23911322199999999</v>
      </c>
      <c r="I588" s="1">
        <v>0.172604909</v>
      </c>
      <c r="J588" s="1">
        <v>0.168646081</v>
      </c>
      <c r="K588" s="1">
        <v>0.132224861</v>
      </c>
      <c r="L588" s="1">
        <v>0.28741092600000001</v>
      </c>
      <c r="M588" s="1">
        <v>27</v>
      </c>
      <c r="N588" s="1" t="s">
        <v>25</v>
      </c>
    </row>
    <row r="589" spans="1:18" ht="15.75" customHeight="1">
      <c r="A589" s="1">
        <v>0.248956073</v>
      </c>
      <c r="B589" s="1">
        <v>1397</v>
      </c>
      <c r="C589" s="1">
        <v>31</v>
      </c>
      <c r="D589" s="1">
        <v>34102</v>
      </c>
      <c r="E589" s="1">
        <v>6381</v>
      </c>
      <c r="F589" s="1">
        <v>28659</v>
      </c>
      <c r="G589" s="1" t="s">
        <v>54</v>
      </c>
      <c r="H589" s="1">
        <v>0.36962590699999998</v>
      </c>
      <c r="I589" s="1">
        <v>0.227805695</v>
      </c>
      <c r="J589" s="1">
        <v>0.19095477399999999</v>
      </c>
      <c r="K589" s="1">
        <v>8.0960356999999997E-2</v>
      </c>
      <c r="L589" s="1">
        <v>0.13065326599999999</v>
      </c>
      <c r="M589" s="1">
        <v>30</v>
      </c>
      <c r="N589" s="1" t="s">
        <v>25</v>
      </c>
    </row>
    <row r="590" spans="1:18" ht="15.75" customHeight="1">
      <c r="A590" s="1">
        <v>0.29123114900000002</v>
      </c>
      <c r="B590" s="1">
        <v>1380</v>
      </c>
      <c r="C590" s="1">
        <v>31</v>
      </c>
      <c r="D590" s="1">
        <v>42100</v>
      </c>
      <c r="E590" s="1">
        <v>11678</v>
      </c>
      <c r="F590" s="1">
        <v>42778</v>
      </c>
      <c r="G590" s="1" t="s">
        <v>54</v>
      </c>
      <c r="H590" s="1">
        <v>0.29533282300000002</v>
      </c>
      <c r="I590" s="1">
        <v>0.181841367</v>
      </c>
      <c r="J590" s="1">
        <v>0.16883448100000001</v>
      </c>
      <c r="K590" s="1">
        <v>0.115531752</v>
      </c>
      <c r="L590" s="1">
        <v>0.23845957700000001</v>
      </c>
      <c r="M590" s="1">
        <v>30</v>
      </c>
      <c r="N590" s="1" t="s">
        <v>25</v>
      </c>
    </row>
    <row r="591" spans="1:18" ht="15.75" customHeight="1">
      <c r="A591" s="1">
        <v>0.164614239</v>
      </c>
      <c r="B591" s="1">
        <v>1447</v>
      </c>
      <c r="C591" s="1">
        <v>32</v>
      </c>
      <c r="D591" s="1">
        <v>18260</v>
      </c>
      <c r="E591" s="1">
        <v>11764</v>
      </c>
      <c r="F591" s="1">
        <v>32876</v>
      </c>
      <c r="G591" s="1" t="s">
        <v>54</v>
      </c>
      <c r="H591" s="1">
        <v>0.197640118</v>
      </c>
      <c r="I591" s="1">
        <v>0.15191740400000001</v>
      </c>
      <c r="J591" s="1">
        <v>0.181415929</v>
      </c>
      <c r="K591" s="1">
        <v>0.12831858400000001</v>
      </c>
      <c r="L591" s="1">
        <v>0.340707965</v>
      </c>
      <c r="M591" s="1">
        <v>33</v>
      </c>
      <c r="N591" s="1" t="s">
        <v>25</v>
      </c>
      <c r="R591" s="1">
        <f>COUNT(G586:G961)</f>
        <v>0</v>
      </c>
    </row>
    <row r="592" spans="1:18" ht="15.75" customHeight="1">
      <c r="A592" s="1">
        <v>0.43689723699999999</v>
      </c>
      <c r="B592" s="1">
        <v>1418</v>
      </c>
      <c r="C592" s="1">
        <v>32</v>
      </c>
      <c r="D592" s="1">
        <v>34623</v>
      </c>
      <c r="E592" s="1">
        <v>16004</v>
      </c>
      <c r="F592" s="1">
        <v>34501</v>
      </c>
      <c r="G592" s="1" t="s">
        <v>54</v>
      </c>
      <c r="H592" s="1">
        <v>0.216720257</v>
      </c>
      <c r="I592" s="1">
        <v>0.163987138</v>
      </c>
      <c r="J592" s="1">
        <v>0.17813504799999999</v>
      </c>
      <c r="K592" s="1">
        <v>0.112861736</v>
      </c>
      <c r="L592" s="1">
        <v>0.32829582000000002</v>
      </c>
      <c r="M592" s="1">
        <v>33</v>
      </c>
      <c r="N592" s="1" t="s">
        <v>25</v>
      </c>
    </row>
    <row r="593" spans="1:14" ht="15.75" customHeight="1">
      <c r="A593" s="1">
        <v>0.43349342600000002</v>
      </c>
      <c r="B593" s="1">
        <v>1402</v>
      </c>
      <c r="C593" s="1">
        <v>30</v>
      </c>
      <c r="D593" s="1">
        <v>35665</v>
      </c>
      <c r="E593" s="1">
        <v>11205</v>
      </c>
      <c r="F593" s="1">
        <v>40603</v>
      </c>
      <c r="G593" s="1" t="s">
        <v>54</v>
      </c>
      <c r="H593" s="1">
        <v>0.14143007399999999</v>
      </c>
      <c r="I593" s="1">
        <v>0.124605678</v>
      </c>
      <c r="J593" s="1">
        <v>0.175078864</v>
      </c>
      <c r="K593" s="1">
        <v>0.15299684499999999</v>
      </c>
      <c r="L593" s="1">
        <v>0.40588853800000002</v>
      </c>
      <c r="M593" s="1">
        <v>39</v>
      </c>
      <c r="N593" s="1" t="s">
        <v>25</v>
      </c>
    </row>
    <row r="594" spans="1:14" ht="15.75" customHeight="1">
      <c r="A594" s="1">
        <v>0.70630978300000002</v>
      </c>
      <c r="B594" s="1">
        <v>1383</v>
      </c>
      <c r="C594" s="1">
        <v>31</v>
      </c>
      <c r="D594" s="1">
        <v>36357</v>
      </c>
      <c r="E594" s="1">
        <v>17239</v>
      </c>
      <c r="F594" s="1">
        <v>36001</v>
      </c>
      <c r="G594" s="1" t="s">
        <v>54</v>
      </c>
      <c r="H594" s="1">
        <v>0.17714285699999999</v>
      </c>
      <c r="I594" s="1">
        <v>0.160779221</v>
      </c>
      <c r="J594" s="1">
        <v>0.16363636400000001</v>
      </c>
      <c r="K594" s="1">
        <v>0.14259740300000001</v>
      </c>
      <c r="L594" s="1">
        <v>0.35584415600000002</v>
      </c>
      <c r="M594" s="1">
        <v>41</v>
      </c>
      <c r="N594" s="1" t="s">
        <v>25</v>
      </c>
    </row>
    <row r="595" spans="1:14" ht="15.75" customHeight="1">
      <c r="A595" s="1">
        <v>0.50819672100000002</v>
      </c>
      <c r="B595" s="1">
        <v>1407</v>
      </c>
      <c r="C595" s="1">
        <v>31</v>
      </c>
      <c r="D595" s="1">
        <v>44617</v>
      </c>
      <c r="E595" s="1">
        <v>12859</v>
      </c>
      <c r="F595" s="1">
        <v>38365</v>
      </c>
      <c r="G595" s="1" t="s">
        <v>54</v>
      </c>
      <c r="H595" s="1">
        <v>0.157400451</v>
      </c>
      <c r="I595" s="1">
        <v>0.13298272</v>
      </c>
      <c r="J595" s="1">
        <v>0.15589782099999999</v>
      </c>
      <c r="K595" s="1">
        <v>0.151014275</v>
      </c>
      <c r="L595" s="1">
        <v>0.40270473299999998</v>
      </c>
      <c r="M595" s="1">
        <v>41</v>
      </c>
      <c r="N595" s="1" t="s">
        <v>25</v>
      </c>
    </row>
    <row r="596" spans="1:14" ht="15.75" customHeight="1">
      <c r="A596" s="1">
        <v>0.448405948</v>
      </c>
      <c r="B596" s="1">
        <v>1463</v>
      </c>
      <c r="C596" s="1">
        <v>33</v>
      </c>
      <c r="D596" s="1">
        <v>30246</v>
      </c>
      <c r="E596" s="1">
        <v>11505</v>
      </c>
      <c r="F596" s="1">
        <v>40306</v>
      </c>
      <c r="G596" s="1" t="s">
        <v>54</v>
      </c>
      <c r="H596" s="1">
        <v>0.21487082499999999</v>
      </c>
      <c r="I596" s="1">
        <v>0.142407057</v>
      </c>
      <c r="J596" s="1">
        <v>0.170132325</v>
      </c>
      <c r="K596" s="1">
        <v>0.13169502199999999</v>
      </c>
      <c r="L596" s="1">
        <v>0.34089477000000001</v>
      </c>
      <c r="M596" s="1">
        <v>44</v>
      </c>
      <c r="N596" s="1" t="s">
        <v>25</v>
      </c>
    </row>
    <row r="597" spans="1:14" ht="15.75" customHeight="1">
      <c r="A597" s="1">
        <v>0.371980009</v>
      </c>
      <c r="B597" s="1">
        <v>1301</v>
      </c>
      <c r="C597" s="1">
        <v>29</v>
      </c>
      <c r="D597" s="1">
        <v>31310</v>
      </c>
      <c r="E597" s="1">
        <v>11180</v>
      </c>
      <c r="F597" s="1">
        <v>30220</v>
      </c>
      <c r="G597" s="1" t="s">
        <v>54</v>
      </c>
      <c r="H597" s="1">
        <v>0.20338983099999999</v>
      </c>
      <c r="I597" s="1">
        <v>0.15514993499999999</v>
      </c>
      <c r="J597" s="1">
        <v>0.18383311599999999</v>
      </c>
      <c r="K597" s="1">
        <v>0.13102998699999999</v>
      </c>
      <c r="L597" s="1">
        <v>0.32659713200000001</v>
      </c>
      <c r="M597" s="1">
        <v>46</v>
      </c>
      <c r="N597" s="1" t="s">
        <v>25</v>
      </c>
    </row>
    <row r="598" spans="1:14" ht="15.75" customHeight="1">
      <c r="A598" s="1">
        <v>0.50303080099999997</v>
      </c>
      <c r="B598" s="1">
        <v>1342</v>
      </c>
      <c r="C598" s="1">
        <v>31</v>
      </c>
      <c r="D598" s="1">
        <v>39637</v>
      </c>
      <c r="E598" s="1">
        <v>9992</v>
      </c>
      <c r="F598" s="1">
        <v>28794</v>
      </c>
      <c r="G598" s="1" t="s">
        <v>54</v>
      </c>
      <c r="H598" s="1">
        <v>0.172239108</v>
      </c>
      <c r="I598" s="1">
        <v>0.13931104399999999</v>
      </c>
      <c r="J598" s="1">
        <v>0.15298885500000001</v>
      </c>
      <c r="K598" s="1">
        <v>0.18642350599999999</v>
      </c>
      <c r="L598" s="1">
        <v>0.34903748699999998</v>
      </c>
      <c r="M598" s="1">
        <v>46</v>
      </c>
      <c r="N598" s="1" t="s">
        <v>25</v>
      </c>
    </row>
    <row r="599" spans="1:14" ht="15.75" customHeight="1">
      <c r="A599" s="1">
        <v>0.25382911499999999</v>
      </c>
      <c r="B599" s="1">
        <v>1323</v>
      </c>
      <c r="C599" s="1">
        <v>29</v>
      </c>
      <c r="D599" s="1">
        <v>31812</v>
      </c>
      <c r="E599" s="1">
        <v>5656</v>
      </c>
      <c r="F599" s="1">
        <v>18786</v>
      </c>
      <c r="G599" s="1" t="s">
        <v>54</v>
      </c>
      <c r="H599" s="1">
        <v>0.28563443300000002</v>
      </c>
      <c r="I599" s="1">
        <v>0.19508105100000001</v>
      </c>
      <c r="J599" s="1">
        <v>0.17831190599999999</v>
      </c>
      <c r="K599" s="1">
        <v>0.104527669</v>
      </c>
      <c r="L599" s="1">
        <v>0.23644494099999999</v>
      </c>
      <c r="M599" s="1">
        <v>51</v>
      </c>
      <c r="N599" s="1" t="s">
        <v>48</v>
      </c>
    </row>
    <row r="600" spans="1:14" ht="15.75" customHeight="1">
      <c r="A600" s="1">
        <v>0.63245593300000003</v>
      </c>
      <c r="B600" s="1">
        <v>1272</v>
      </c>
      <c r="C600" s="1">
        <v>28</v>
      </c>
      <c r="D600" s="1">
        <v>59099</v>
      </c>
      <c r="E600" s="1">
        <v>13099</v>
      </c>
      <c r="F600" s="1">
        <v>40328</v>
      </c>
      <c r="G600" s="1" t="s">
        <v>54</v>
      </c>
      <c r="H600" s="1">
        <v>0.22959537599999999</v>
      </c>
      <c r="I600" s="1">
        <v>0.15329479800000001</v>
      </c>
      <c r="J600" s="1">
        <v>0.150289017</v>
      </c>
      <c r="K600" s="1">
        <v>0.13271676299999999</v>
      </c>
      <c r="L600" s="1">
        <v>0.33410404599999999</v>
      </c>
      <c r="M600" s="1">
        <v>51</v>
      </c>
      <c r="N600" s="1" t="s">
        <v>48</v>
      </c>
    </row>
    <row r="601" spans="1:14" ht="15.75" customHeight="1">
      <c r="A601" s="1">
        <v>0.76871774900000001</v>
      </c>
      <c r="B601" s="1">
        <v>1359</v>
      </c>
      <c r="C601" s="1">
        <v>29</v>
      </c>
      <c r="D601" s="1">
        <v>30469</v>
      </c>
      <c r="E601" s="1">
        <v>16488</v>
      </c>
      <c r="F601" s="1">
        <v>36402</v>
      </c>
      <c r="G601" s="1" t="s">
        <v>54</v>
      </c>
      <c r="H601" s="1">
        <v>0.152847873</v>
      </c>
      <c r="I601" s="1">
        <v>0.13013698600000001</v>
      </c>
      <c r="J601" s="1">
        <v>0.17087238599999999</v>
      </c>
      <c r="K601" s="1">
        <v>0.156092286</v>
      </c>
      <c r="L601" s="1">
        <v>0.39005046900000001</v>
      </c>
      <c r="M601" s="1">
        <v>54</v>
      </c>
      <c r="N601" s="1" t="s">
        <v>48</v>
      </c>
    </row>
    <row r="602" spans="1:14" ht="15.75" customHeight="1">
      <c r="A602" s="1">
        <v>0.39846188399999999</v>
      </c>
      <c r="B602" s="1">
        <v>1380</v>
      </c>
      <c r="C602" s="1">
        <v>30</v>
      </c>
      <c r="D602" s="1">
        <v>26389</v>
      </c>
      <c r="E602" s="1">
        <v>8895</v>
      </c>
      <c r="F602" s="1">
        <v>31767</v>
      </c>
      <c r="G602" s="1" t="s">
        <v>54</v>
      </c>
      <c r="H602" s="1">
        <v>0.17345537799999999</v>
      </c>
      <c r="I602" s="1">
        <v>0.12585812399999999</v>
      </c>
      <c r="J602" s="1">
        <v>0.153318078</v>
      </c>
      <c r="K602" s="1">
        <v>0.16567505699999999</v>
      </c>
      <c r="L602" s="1">
        <v>0.38169336399999998</v>
      </c>
      <c r="M602" s="1">
        <v>54</v>
      </c>
      <c r="N602" s="1" t="s">
        <v>48</v>
      </c>
    </row>
    <row r="603" spans="1:14" ht="15.75" customHeight="1">
      <c r="A603" s="1">
        <v>0.32715979000000001</v>
      </c>
      <c r="B603" s="1">
        <v>1458</v>
      </c>
      <c r="C603" s="1">
        <v>33</v>
      </c>
      <c r="D603" s="1">
        <v>6949</v>
      </c>
      <c r="E603" s="1">
        <v>25040</v>
      </c>
      <c r="F603" s="1">
        <v>49412</v>
      </c>
      <c r="G603" s="1" t="s">
        <v>54</v>
      </c>
      <c r="H603" s="1">
        <v>0.139880952</v>
      </c>
      <c r="I603" s="1">
        <v>0.110119048</v>
      </c>
      <c r="J603" s="1">
        <v>0.133928571</v>
      </c>
      <c r="K603" s="1">
        <v>0.16964285700000001</v>
      </c>
      <c r="L603" s="1">
        <v>0.446428571</v>
      </c>
      <c r="M603" s="1">
        <v>54</v>
      </c>
      <c r="N603" s="1" t="s">
        <v>48</v>
      </c>
    </row>
    <row r="604" spans="1:14" ht="15.75" customHeight="1">
      <c r="A604" s="1">
        <v>0.577681263</v>
      </c>
      <c r="B604" s="1">
        <v>1393</v>
      </c>
      <c r="C604" s="1">
        <v>31</v>
      </c>
      <c r="D604" s="1">
        <v>23694</v>
      </c>
      <c r="E604" s="1">
        <v>17357</v>
      </c>
      <c r="F604" s="1">
        <v>39293</v>
      </c>
      <c r="G604" s="1" t="s">
        <v>54</v>
      </c>
      <c r="H604" s="1">
        <v>0.14115044199999999</v>
      </c>
      <c r="I604" s="1">
        <v>0.10486725700000001</v>
      </c>
      <c r="J604" s="1">
        <v>0.12699115</v>
      </c>
      <c r="K604" s="1">
        <v>0.139380531</v>
      </c>
      <c r="L604" s="1">
        <v>0.48761061900000002</v>
      </c>
      <c r="M604" s="1">
        <v>58</v>
      </c>
      <c r="N604" s="1" t="s">
        <v>48</v>
      </c>
    </row>
    <row r="605" spans="1:14" ht="15.75" customHeight="1">
      <c r="A605" s="1">
        <v>0.49005780599999998</v>
      </c>
      <c r="B605" s="1">
        <v>1410</v>
      </c>
      <c r="C605" s="1">
        <v>31</v>
      </c>
      <c r="D605" s="1">
        <v>17420</v>
      </c>
      <c r="E605" s="1">
        <v>10560</v>
      </c>
      <c r="F605" s="1">
        <v>30350</v>
      </c>
      <c r="G605" s="1" t="s">
        <v>54</v>
      </c>
      <c r="H605" s="1">
        <v>0.35119363399999998</v>
      </c>
      <c r="I605" s="1">
        <v>0.22652519900000001</v>
      </c>
      <c r="J605" s="1">
        <v>0.14429708199999999</v>
      </c>
      <c r="K605" s="1">
        <v>7.9575596999999998E-2</v>
      </c>
      <c r="L605" s="1">
        <v>0.19840848799999999</v>
      </c>
      <c r="M605" s="1">
        <v>58</v>
      </c>
      <c r="N605" s="1" t="s">
        <v>48</v>
      </c>
    </row>
    <row r="606" spans="1:14" ht="15.75" customHeight="1">
      <c r="A606" s="1">
        <v>0.83924659000000001</v>
      </c>
      <c r="B606" s="1">
        <v>1261</v>
      </c>
      <c r="C606" s="1">
        <v>28</v>
      </c>
      <c r="D606" s="1">
        <v>40243</v>
      </c>
      <c r="E606" s="1">
        <v>15988</v>
      </c>
      <c r="F606" s="1">
        <v>43372</v>
      </c>
      <c r="G606" s="1" t="s">
        <v>54</v>
      </c>
      <c r="H606" s="1">
        <v>0.21219663999999999</v>
      </c>
      <c r="I606" s="1">
        <v>0.12912258900000001</v>
      </c>
      <c r="J606" s="1">
        <v>0.141879278</v>
      </c>
      <c r="K606" s="1">
        <v>0.12881144999999999</v>
      </c>
      <c r="L606" s="1">
        <v>0.38799004399999998</v>
      </c>
      <c r="M606" s="1">
        <v>63</v>
      </c>
      <c r="N606" s="1" t="s">
        <v>48</v>
      </c>
    </row>
    <row r="607" spans="1:14" ht="15.75" customHeight="1">
      <c r="A607" s="1">
        <v>0.69345227200000004</v>
      </c>
      <c r="B607" s="1">
        <v>1316</v>
      </c>
      <c r="C607" s="1">
        <v>29</v>
      </c>
      <c r="D607" s="1">
        <v>41862</v>
      </c>
      <c r="E607" s="1">
        <v>20234</v>
      </c>
      <c r="F607" s="1">
        <v>40188</v>
      </c>
      <c r="G607" s="1" t="s">
        <v>54</v>
      </c>
      <c r="H607" s="1">
        <v>9.5728452000000006E-2</v>
      </c>
      <c r="I607" s="1">
        <v>7.3607933E-2</v>
      </c>
      <c r="J607" s="1">
        <v>9.9923722000000006E-2</v>
      </c>
      <c r="K607" s="1">
        <v>0.14645308900000001</v>
      </c>
      <c r="L607" s="1">
        <v>0.58428680399999999</v>
      </c>
      <c r="M607" s="1">
        <v>63</v>
      </c>
      <c r="N607" s="1" t="s">
        <v>48</v>
      </c>
    </row>
    <row r="608" spans="1:14" ht="15.75" customHeight="1">
      <c r="A608" s="1">
        <v>0.60440018699999998</v>
      </c>
      <c r="B608" s="1">
        <v>1338</v>
      </c>
      <c r="C608" s="1">
        <v>31</v>
      </c>
      <c r="D608" s="1">
        <v>19147</v>
      </c>
      <c r="E608" s="1">
        <v>20366</v>
      </c>
      <c r="F608" s="1">
        <v>43034</v>
      </c>
      <c r="G608" s="1" t="s">
        <v>54</v>
      </c>
      <c r="H608" s="1">
        <v>0.20632737300000001</v>
      </c>
      <c r="I608" s="1">
        <v>0.162310867</v>
      </c>
      <c r="J608" s="1">
        <v>0.14580467699999999</v>
      </c>
      <c r="K608" s="1">
        <v>0.11691884499999999</v>
      </c>
      <c r="L608" s="1">
        <v>0.36863823899999998</v>
      </c>
      <c r="M608" s="1">
        <v>70</v>
      </c>
      <c r="N608" s="1" t="s">
        <v>48</v>
      </c>
    </row>
    <row r="609" spans="1:14" ht="15.75" customHeight="1">
      <c r="A609" s="1">
        <v>0.56827352499999995</v>
      </c>
      <c r="B609" s="1">
        <v>1371</v>
      </c>
      <c r="C609" s="1">
        <v>31</v>
      </c>
      <c r="D609" s="1">
        <v>20189</v>
      </c>
      <c r="E609" s="1">
        <v>21524</v>
      </c>
      <c r="F609" s="1">
        <v>39890</v>
      </c>
      <c r="G609" s="1" t="s">
        <v>54</v>
      </c>
      <c r="H609" s="1">
        <v>0.11911764699999999</v>
      </c>
      <c r="I609" s="1">
        <v>8.2352940999999999E-2</v>
      </c>
      <c r="J609" s="1">
        <v>9.7794117999999999E-2</v>
      </c>
      <c r="K609" s="1">
        <v>0.148529412</v>
      </c>
      <c r="L609" s="1">
        <v>0.55220588199999998</v>
      </c>
      <c r="M609" s="1">
        <v>70</v>
      </c>
      <c r="N609" s="1" t="s">
        <v>48</v>
      </c>
    </row>
    <row r="610" spans="1:14" ht="15.75" customHeight="1">
      <c r="A610" s="1">
        <v>0.80369940500000003</v>
      </c>
      <c r="B610" s="1">
        <v>1308</v>
      </c>
      <c r="C610" s="1">
        <v>30</v>
      </c>
      <c r="D610" s="1">
        <v>36571</v>
      </c>
      <c r="E610" s="1">
        <v>11790</v>
      </c>
      <c r="F610" s="1">
        <v>40482</v>
      </c>
      <c r="G610" s="1" t="s">
        <v>54</v>
      </c>
      <c r="H610" s="1">
        <v>0.198832543</v>
      </c>
      <c r="I610" s="1">
        <v>0.155417731</v>
      </c>
      <c r="J610" s="1">
        <v>0.17730755200000001</v>
      </c>
      <c r="K610" s="1">
        <v>0.143378329</v>
      </c>
      <c r="L610" s="1">
        <v>0.32506384500000002</v>
      </c>
      <c r="M610" s="1">
        <v>73</v>
      </c>
      <c r="N610" s="1" t="s">
        <v>48</v>
      </c>
    </row>
    <row r="611" spans="1:14" ht="15.75" customHeight="1">
      <c r="A611" s="1">
        <v>0.37733524499999999</v>
      </c>
      <c r="B611" s="1">
        <v>1415</v>
      </c>
      <c r="C611" s="1">
        <v>32</v>
      </c>
      <c r="D611" s="1">
        <v>14401</v>
      </c>
      <c r="E611" s="1">
        <v>10363</v>
      </c>
      <c r="F611" s="1">
        <v>29453</v>
      </c>
      <c r="G611" s="1" t="s">
        <v>54</v>
      </c>
      <c r="H611" s="1">
        <v>0.22576832199999999</v>
      </c>
      <c r="I611" s="1">
        <v>0.14834515400000001</v>
      </c>
      <c r="J611" s="1">
        <v>0.13238770699999999</v>
      </c>
      <c r="K611" s="1">
        <v>0.14007092199999999</v>
      </c>
      <c r="L611" s="1">
        <v>0.35342789600000002</v>
      </c>
      <c r="M611" s="1">
        <v>73</v>
      </c>
      <c r="N611" s="1" t="s">
        <v>48</v>
      </c>
    </row>
    <row r="612" spans="1:14" ht="15.75" customHeight="1">
      <c r="A612" s="1">
        <v>0.59708787299999999</v>
      </c>
      <c r="B612" s="1">
        <v>1403</v>
      </c>
      <c r="C612" s="1">
        <v>31</v>
      </c>
      <c r="D612" s="1">
        <v>5801</v>
      </c>
      <c r="E612" s="1">
        <v>21186</v>
      </c>
      <c r="F612" s="1">
        <v>44376</v>
      </c>
      <c r="G612" s="1" t="s">
        <v>54</v>
      </c>
      <c r="H612" s="1">
        <v>0.114722753</v>
      </c>
      <c r="I612" s="1">
        <v>8.4130019E-2</v>
      </c>
      <c r="J612" s="1">
        <v>0.160611855</v>
      </c>
      <c r="K612" s="1">
        <v>0.118546845</v>
      </c>
      <c r="L612" s="1">
        <v>0.52198852799999995</v>
      </c>
      <c r="M612" s="1">
        <v>76</v>
      </c>
      <c r="N612" s="1" t="s">
        <v>48</v>
      </c>
    </row>
    <row r="613" spans="1:14" ht="15.75" customHeight="1">
      <c r="A613" s="1">
        <v>0.69303847200000002</v>
      </c>
      <c r="B613" s="1">
        <v>1298</v>
      </c>
      <c r="C613" s="1">
        <v>30</v>
      </c>
      <c r="D613" s="1">
        <v>20284</v>
      </c>
      <c r="E613" s="1">
        <v>10782</v>
      </c>
      <c r="F613" s="1">
        <v>30572</v>
      </c>
      <c r="G613" s="1" t="s">
        <v>54</v>
      </c>
      <c r="H613" s="1">
        <v>0.26158445400000002</v>
      </c>
      <c r="I613" s="1">
        <v>0.163303438</v>
      </c>
      <c r="J613" s="1">
        <v>0.150597907</v>
      </c>
      <c r="K613" s="1">
        <v>0.135276532</v>
      </c>
      <c r="L613" s="1">
        <v>0.289237668</v>
      </c>
      <c r="M613" s="1">
        <v>76</v>
      </c>
      <c r="N613" s="1" t="s">
        <v>48</v>
      </c>
    </row>
    <row r="614" spans="1:14" ht="15.75" customHeight="1">
      <c r="A614" s="1">
        <v>0.78501180199999998</v>
      </c>
      <c r="B614" s="1">
        <v>1242</v>
      </c>
      <c r="C614" s="1">
        <v>28</v>
      </c>
      <c r="D614" s="1">
        <v>21814</v>
      </c>
      <c r="E614" s="1">
        <v>14338</v>
      </c>
      <c r="F614" s="1">
        <v>29360</v>
      </c>
      <c r="G614" s="1" t="s">
        <v>54</v>
      </c>
      <c r="H614" s="1">
        <v>0.38962472399999998</v>
      </c>
      <c r="I614" s="1">
        <v>0.25202354700000001</v>
      </c>
      <c r="J614" s="1">
        <v>0.193156733</v>
      </c>
      <c r="K614" s="1">
        <v>7.468727E-2</v>
      </c>
      <c r="L614" s="1">
        <v>9.0507725999999997E-2</v>
      </c>
      <c r="M614" s="1">
        <v>80</v>
      </c>
      <c r="N614" s="1" t="s">
        <v>48</v>
      </c>
    </row>
    <row r="615" spans="1:14" ht="15.75" customHeight="1">
      <c r="A615" s="1">
        <v>0.38054289600000002</v>
      </c>
      <c r="B615" s="1">
        <v>1341</v>
      </c>
      <c r="C615" s="1">
        <v>30</v>
      </c>
      <c r="D615" s="1">
        <v>22778</v>
      </c>
      <c r="E615" s="1">
        <v>15554</v>
      </c>
      <c r="F615" s="1">
        <v>39498</v>
      </c>
      <c r="G615" s="1" t="s">
        <v>54</v>
      </c>
      <c r="H615" s="1">
        <v>0.146341463</v>
      </c>
      <c r="I615" s="1">
        <v>0.1271777</v>
      </c>
      <c r="J615" s="1">
        <v>0.161149826</v>
      </c>
      <c r="K615" s="1">
        <v>0.16202090599999999</v>
      </c>
      <c r="L615" s="1">
        <v>0.40331010499999997</v>
      </c>
      <c r="M615" s="1">
        <v>80</v>
      </c>
      <c r="N615" s="1" t="s">
        <v>48</v>
      </c>
    </row>
    <row r="616" spans="1:14" ht="15.75" customHeight="1">
      <c r="A616" s="1">
        <v>0.66904881000000005</v>
      </c>
      <c r="B616" s="1">
        <v>1336</v>
      </c>
      <c r="C616" s="1">
        <v>29</v>
      </c>
      <c r="D616" s="1">
        <v>8762</v>
      </c>
      <c r="E616" s="1">
        <v>19022</v>
      </c>
      <c r="F616" s="1">
        <v>35934</v>
      </c>
      <c r="G616" s="1" t="s">
        <v>54</v>
      </c>
      <c r="H616" s="1">
        <v>0.30205949700000001</v>
      </c>
      <c r="I616" s="1">
        <v>0.23455377599999999</v>
      </c>
      <c r="J616" s="1">
        <v>0.19221968</v>
      </c>
      <c r="K616" s="1">
        <v>9.9542333999999996E-2</v>
      </c>
      <c r="L616" s="1">
        <v>0.17162471400000001</v>
      </c>
      <c r="M616" s="1">
        <v>84</v>
      </c>
      <c r="N616" s="1" t="s">
        <v>48</v>
      </c>
    </row>
    <row r="617" spans="1:14" ht="15.75" customHeight="1">
      <c r="A617" s="1">
        <v>0.65112762000000002</v>
      </c>
      <c r="B617" s="1">
        <v>1297</v>
      </c>
      <c r="C617" s="1">
        <v>29</v>
      </c>
      <c r="D617" s="1">
        <v>18812</v>
      </c>
      <c r="E617" s="1">
        <v>16080</v>
      </c>
      <c r="F617" s="1">
        <v>39720</v>
      </c>
      <c r="G617" s="1" t="s">
        <v>54</v>
      </c>
      <c r="H617" s="1">
        <v>0.19364161799999999</v>
      </c>
      <c r="I617" s="1">
        <v>0.150289017</v>
      </c>
      <c r="J617" s="1">
        <v>0.17533718700000001</v>
      </c>
      <c r="K617" s="1">
        <v>0.13102119500000001</v>
      </c>
      <c r="L617" s="1">
        <v>0.34971098299999998</v>
      </c>
      <c r="M617" s="1">
        <v>86</v>
      </c>
      <c r="N617" s="1" t="s">
        <v>48</v>
      </c>
    </row>
    <row r="618" spans="1:14" ht="15.75" customHeight="1">
      <c r="A618" s="1">
        <v>0.40957552899999999</v>
      </c>
      <c r="B618" s="1">
        <v>1235</v>
      </c>
      <c r="C618" s="1">
        <v>26</v>
      </c>
      <c r="D618" s="1">
        <v>36299</v>
      </c>
      <c r="E618" s="1">
        <v>6410</v>
      </c>
      <c r="F618" s="1">
        <v>17324</v>
      </c>
      <c r="G618" s="1" t="s">
        <v>54</v>
      </c>
      <c r="H618" s="1">
        <v>0.29188712500000003</v>
      </c>
      <c r="I618" s="1">
        <v>0.197530864</v>
      </c>
      <c r="J618" s="1">
        <v>0.20105820099999999</v>
      </c>
      <c r="K618" s="1">
        <v>0.12433862399999999</v>
      </c>
      <c r="L618" s="1">
        <v>0.185185185</v>
      </c>
      <c r="M618" s="1">
        <v>91</v>
      </c>
      <c r="N618" s="1" t="s">
        <v>48</v>
      </c>
    </row>
    <row r="619" spans="1:14" ht="15.75" customHeight="1">
      <c r="A619" s="1">
        <v>0.83275963500000005</v>
      </c>
      <c r="B619" s="1">
        <v>1353</v>
      </c>
      <c r="C619" s="1">
        <v>31</v>
      </c>
      <c r="D619" s="1">
        <v>31578</v>
      </c>
      <c r="E619" s="1">
        <v>16430</v>
      </c>
      <c r="F619" s="1">
        <v>41943</v>
      </c>
      <c r="G619" s="1" t="s">
        <v>54</v>
      </c>
      <c r="H619" s="1">
        <v>0.200352526</v>
      </c>
      <c r="I619" s="1">
        <v>0.14159811999999999</v>
      </c>
      <c r="J619" s="1">
        <v>0.158049354</v>
      </c>
      <c r="K619" s="1">
        <v>0.126321974</v>
      </c>
      <c r="L619" s="1">
        <v>0.373678026</v>
      </c>
      <c r="M619" s="1">
        <v>98</v>
      </c>
      <c r="N619" s="1" t="s">
        <v>48</v>
      </c>
    </row>
    <row r="620" spans="1:14" ht="15.75" customHeight="1">
      <c r="A620" s="1">
        <v>0.588359831</v>
      </c>
      <c r="B620" s="1">
        <v>1154</v>
      </c>
      <c r="C620" s="1">
        <v>24</v>
      </c>
      <c r="D620" s="1">
        <v>38761</v>
      </c>
      <c r="E620" s="1">
        <v>6565</v>
      </c>
      <c r="F620" s="1">
        <v>18963</v>
      </c>
      <c r="G620" s="1" t="s">
        <v>54</v>
      </c>
      <c r="H620" s="1">
        <v>0.472477064</v>
      </c>
      <c r="I620" s="1">
        <v>0.24836173</v>
      </c>
      <c r="J620" s="1">
        <v>0.17300131099999999</v>
      </c>
      <c r="K620" s="1">
        <v>4.91481E-2</v>
      </c>
      <c r="L620" s="1">
        <v>5.7011795999999997E-2</v>
      </c>
      <c r="M620" s="1">
        <v>98</v>
      </c>
      <c r="N620" s="1" t="s">
        <v>48</v>
      </c>
    </row>
    <row r="621" spans="1:14" ht="15.75" customHeight="1">
      <c r="A621" s="1">
        <v>0.84674090800000001</v>
      </c>
      <c r="B621" s="1">
        <v>1220</v>
      </c>
      <c r="C621" s="1">
        <v>25</v>
      </c>
      <c r="D621" s="1">
        <v>21691</v>
      </c>
      <c r="E621" s="1">
        <v>10964</v>
      </c>
      <c r="F621" s="1">
        <v>32927</v>
      </c>
      <c r="G621" s="1" t="s">
        <v>54</v>
      </c>
      <c r="H621" s="1">
        <v>0.121153846</v>
      </c>
      <c r="I621" s="1">
        <v>0.108333333</v>
      </c>
      <c r="J621" s="1">
        <v>0.15256410300000001</v>
      </c>
      <c r="K621" s="1">
        <v>0.15705128199999999</v>
      </c>
      <c r="L621" s="1">
        <v>0.46089743599999999</v>
      </c>
      <c r="M621" s="1">
        <v>98</v>
      </c>
      <c r="N621" s="1" t="s">
        <v>48</v>
      </c>
    </row>
    <row r="622" spans="1:14" ht="15.75" customHeight="1">
      <c r="A622" s="1">
        <v>0.70630978300000002</v>
      </c>
      <c r="B622" s="1">
        <v>1118</v>
      </c>
      <c r="C622" s="1">
        <v>21</v>
      </c>
      <c r="D622" s="1">
        <v>3819</v>
      </c>
      <c r="E622" s="1">
        <v>17079</v>
      </c>
      <c r="F622" s="1">
        <v>35841</v>
      </c>
      <c r="G622" s="1" t="s">
        <v>54</v>
      </c>
      <c r="H622" s="1">
        <v>0.30434782599999999</v>
      </c>
      <c r="I622" s="1">
        <v>0.15489130400000001</v>
      </c>
      <c r="J622" s="1">
        <v>0.171195652</v>
      </c>
      <c r="K622" s="1">
        <v>0.14673913</v>
      </c>
      <c r="L622" s="1">
        <v>0.22282608700000001</v>
      </c>
      <c r="M622" s="1">
        <v>98</v>
      </c>
      <c r="N622" s="1" t="s">
        <v>48</v>
      </c>
    </row>
    <row r="623" spans="1:14" ht="15.75" customHeight="1">
      <c r="A623" s="1">
        <v>0.66220885600000001</v>
      </c>
      <c r="B623" s="1">
        <v>947</v>
      </c>
      <c r="C623" s="1">
        <v>17</v>
      </c>
      <c r="D623" s="1">
        <v>5726</v>
      </c>
      <c r="E623" s="1">
        <v>10024</v>
      </c>
      <c r="F623" s="1">
        <v>18634</v>
      </c>
      <c r="G623" s="1" t="s">
        <v>54</v>
      </c>
      <c r="H623" s="1">
        <v>0.50852713199999999</v>
      </c>
      <c r="I623" s="1">
        <v>0.27286821700000002</v>
      </c>
      <c r="J623" s="1">
        <v>0.145736434</v>
      </c>
      <c r="K623" s="1">
        <v>3.2558139999999999E-2</v>
      </c>
      <c r="L623" s="1">
        <v>4.0310077999999999E-2</v>
      </c>
      <c r="M623" s="1" t="s">
        <v>16</v>
      </c>
      <c r="N623" s="1" t="s">
        <v>17</v>
      </c>
    </row>
    <row r="624" spans="1:14" ht="15.75" customHeight="1">
      <c r="A624" s="1">
        <v>0.88423848299999996</v>
      </c>
      <c r="B624" s="1">
        <v>1251</v>
      </c>
      <c r="C624" s="1">
        <v>26</v>
      </c>
      <c r="D624" s="1">
        <v>12118</v>
      </c>
      <c r="E624" s="1">
        <v>8832</v>
      </c>
      <c r="F624" s="1">
        <v>21864</v>
      </c>
      <c r="G624" s="1" t="s">
        <v>54</v>
      </c>
      <c r="H624" s="1">
        <v>0.325396825</v>
      </c>
      <c r="I624" s="1">
        <v>0.16666666699999999</v>
      </c>
      <c r="J624" s="1">
        <v>0.171428571</v>
      </c>
      <c r="K624" s="1">
        <v>0.133333333</v>
      </c>
      <c r="L624" s="1">
        <v>0.20317460300000001</v>
      </c>
      <c r="M624" s="1" t="s">
        <v>16</v>
      </c>
      <c r="N624" s="1" t="s">
        <v>17</v>
      </c>
    </row>
    <row r="625" spans="1:14" ht="15.75" customHeight="1">
      <c r="A625" s="1">
        <v>0.74250905499999997</v>
      </c>
      <c r="B625" s="1">
        <v>1321</v>
      </c>
      <c r="C625" s="1">
        <v>28</v>
      </c>
      <c r="D625" s="1">
        <v>6650</v>
      </c>
      <c r="E625" s="1">
        <v>11770</v>
      </c>
      <c r="F625" s="1">
        <v>24662</v>
      </c>
      <c r="G625" s="1" t="s">
        <v>54</v>
      </c>
      <c r="H625" s="1">
        <v>0.20043103400000001</v>
      </c>
      <c r="I625" s="1">
        <v>0.181034483</v>
      </c>
      <c r="J625" s="1">
        <v>0.170258621</v>
      </c>
      <c r="K625" s="1">
        <v>0.163793103</v>
      </c>
      <c r="L625" s="1">
        <v>0.28448275899999997</v>
      </c>
      <c r="M625" s="1" t="s">
        <v>16</v>
      </c>
      <c r="N625" s="1" t="s">
        <v>17</v>
      </c>
    </row>
    <row r="626" spans="1:14" ht="15.75" customHeight="1">
      <c r="A626" s="1">
        <v>0.95641601200000004</v>
      </c>
      <c r="B626" s="1">
        <v>977</v>
      </c>
      <c r="C626" s="1">
        <v>18</v>
      </c>
      <c r="D626" s="1">
        <v>3322</v>
      </c>
      <c r="E626" s="1">
        <v>11248</v>
      </c>
      <c r="F626" s="1">
        <v>19576</v>
      </c>
      <c r="G626" s="1" t="s">
        <v>54</v>
      </c>
      <c r="H626" s="1">
        <v>0.597938144</v>
      </c>
      <c r="I626" s="1">
        <v>0.213058419</v>
      </c>
      <c r="J626" s="1">
        <v>0.113402062</v>
      </c>
      <c r="K626" s="1">
        <v>5.1546392000000003E-2</v>
      </c>
      <c r="L626" s="1">
        <v>2.4054982999999999E-2</v>
      </c>
      <c r="M626" s="1" t="s">
        <v>16</v>
      </c>
      <c r="N626" s="1" t="s">
        <v>17</v>
      </c>
    </row>
    <row r="627" spans="1:14" ht="15.75" customHeight="1">
      <c r="A627" s="1">
        <v>0.75824232300000005</v>
      </c>
      <c r="B627" s="1">
        <v>1287</v>
      </c>
      <c r="C627" s="1">
        <v>27</v>
      </c>
      <c r="D627" s="1">
        <v>32323</v>
      </c>
      <c r="E627" s="1">
        <v>11900</v>
      </c>
      <c r="F627" s="1">
        <v>33200</v>
      </c>
      <c r="G627" s="1" t="s">
        <v>54</v>
      </c>
      <c r="H627" s="1">
        <v>0.30977917999999999</v>
      </c>
      <c r="I627" s="1">
        <v>0.16340694</v>
      </c>
      <c r="J627" s="1">
        <v>0.14637223999999999</v>
      </c>
      <c r="K627" s="1">
        <v>0.121135647</v>
      </c>
      <c r="L627" s="1">
        <v>0.25930599399999998</v>
      </c>
      <c r="M627" s="1" t="s">
        <v>16</v>
      </c>
      <c r="N627" s="1" t="s">
        <v>17</v>
      </c>
    </row>
    <row r="628" spans="1:14" ht="15.75" customHeight="1">
      <c r="A628" s="1">
        <v>0.92634432899999997</v>
      </c>
      <c r="B628" s="1">
        <v>1090</v>
      </c>
      <c r="C628" s="1">
        <v>21</v>
      </c>
      <c r="D628" s="1">
        <v>2693</v>
      </c>
      <c r="E628" s="1">
        <v>9436</v>
      </c>
      <c r="F628" s="1">
        <v>20092</v>
      </c>
      <c r="G628" s="1" t="s">
        <v>54</v>
      </c>
      <c r="H628" s="1">
        <v>0.41004184100000002</v>
      </c>
      <c r="I628" s="1">
        <v>0.21757322200000001</v>
      </c>
      <c r="J628" s="1">
        <v>0.15062761499999999</v>
      </c>
      <c r="K628" s="1">
        <v>0.10041841</v>
      </c>
      <c r="L628" s="1">
        <v>0.12133891199999999</v>
      </c>
      <c r="M628" s="1" t="s">
        <v>16</v>
      </c>
      <c r="N628" s="1" t="s">
        <v>17</v>
      </c>
    </row>
    <row r="629" spans="1:14" ht="15.75" customHeight="1">
      <c r="A629" s="1">
        <v>0.50467018100000005</v>
      </c>
      <c r="B629" s="1">
        <v>1318</v>
      </c>
      <c r="C629" s="1">
        <v>28</v>
      </c>
      <c r="D629" s="1">
        <v>25732</v>
      </c>
      <c r="E629" s="1">
        <v>12536</v>
      </c>
      <c r="F629" s="1">
        <v>33944</v>
      </c>
      <c r="G629" s="1" t="s">
        <v>54</v>
      </c>
      <c r="H629" s="1">
        <v>0.19520264700000001</v>
      </c>
      <c r="I629" s="1">
        <v>0.123242349</v>
      </c>
      <c r="J629" s="1">
        <v>0.14474772499999999</v>
      </c>
      <c r="K629" s="1">
        <v>0.15219189399999999</v>
      </c>
      <c r="L629" s="1">
        <v>0.38461538499999998</v>
      </c>
      <c r="M629" s="1" t="s">
        <v>16</v>
      </c>
      <c r="N629" s="1" t="s">
        <v>17</v>
      </c>
    </row>
    <row r="630" spans="1:14" ht="15.75" customHeight="1">
      <c r="A630" s="1">
        <v>0.76215856100000001</v>
      </c>
      <c r="B630" s="1">
        <v>1055</v>
      </c>
      <c r="C630" s="1">
        <v>20</v>
      </c>
      <c r="D630" s="1">
        <v>7030</v>
      </c>
      <c r="E630" s="1">
        <v>12426</v>
      </c>
      <c r="F630" s="1">
        <v>22716</v>
      </c>
      <c r="G630" s="1" t="s">
        <v>54</v>
      </c>
      <c r="H630" s="1">
        <v>0.42965517199999997</v>
      </c>
      <c r="I630" s="1">
        <v>0.21103448299999999</v>
      </c>
      <c r="J630" s="1">
        <v>0.146206897</v>
      </c>
      <c r="K630" s="1">
        <v>8.9655172000000005E-2</v>
      </c>
      <c r="L630" s="1">
        <v>0.123448276</v>
      </c>
      <c r="M630" s="1" t="s">
        <v>16</v>
      </c>
      <c r="N630" s="1" t="s">
        <v>17</v>
      </c>
    </row>
    <row r="631" spans="1:14" ht="15.75" customHeight="1">
      <c r="A631" s="1">
        <v>0.87114159700000005</v>
      </c>
      <c r="B631" s="1">
        <v>1015</v>
      </c>
      <c r="C631" s="1">
        <v>19</v>
      </c>
      <c r="D631" s="1">
        <v>2666</v>
      </c>
      <c r="E631" s="1">
        <v>10990</v>
      </c>
      <c r="F631" s="1">
        <v>20090</v>
      </c>
      <c r="G631" s="1" t="s">
        <v>54</v>
      </c>
      <c r="H631" s="1">
        <v>0.68449197900000003</v>
      </c>
      <c r="I631" s="1">
        <v>0.171122995</v>
      </c>
      <c r="J631" s="1">
        <v>9.0909090999999997E-2</v>
      </c>
      <c r="K631" s="1">
        <v>4.2780749E-2</v>
      </c>
      <c r="L631" s="1">
        <v>1.0695187E-2</v>
      </c>
      <c r="M631" s="1" t="s">
        <v>16</v>
      </c>
      <c r="N631" s="1" t="s">
        <v>17</v>
      </c>
    </row>
    <row r="632" spans="1:14" ht="15.75" customHeight="1">
      <c r="A632" s="1">
        <v>0.59173553700000003</v>
      </c>
      <c r="B632" s="1">
        <v>1043</v>
      </c>
      <c r="C632" s="1">
        <v>19</v>
      </c>
      <c r="D632" s="1">
        <v>308</v>
      </c>
      <c r="E632" s="1">
        <v>9538</v>
      </c>
      <c r="F632" s="1">
        <v>15538</v>
      </c>
      <c r="G632" s="1" t="s">
        <v>54</v>
      </c>
      <c r="H632" s="1">
        <v>0.390625</v>
      </c>
      <c r="I632" s="1">
        <v>0.15625</v>
      </c>
      <c r="J632" s="1">
        <v>0.171875</v>
      </c>
      <c r="K632" s="1">
        <v>0.140625</v>
      </c>
      <c r="L632" s="1">
        <v>0.140625</v>
      </c>
      <c r="M632" s="1" t="s">
        <v>16</v>
      </c>
      <c r="N632" s="1" t="s">
        <v>17</v>
      </c>
    </row>
    <row r="633" spans="1:14" ht="15.75" customHeight="1">
      <c r="A633" s="1">
        <v>0.654887636</v>
      </c>
      <c r="B633" s="1">
        <v>1119</v>
      </c>
      <c r="C633" s="1">
        <v>22</v>
      </c>
      <c r="D633" s="1">
        <v>8540</v>
      </c>
      <c r="E633" s="1">
        <v>9676</v>
      </c>
      <c r="F633" s="1">
        <v>18652</v>
      </c>
      <c r="G633" s="1" t="s">
        <v>54</v>
      </c>
      <c r="H633" s="1">
        <v>0.32641509400000002</v>
      </c>
      <c r="I633" s="1">
        <v>0.16981132099999999</v>
      </c>
      <c r="J633" s="1">
        <v>0.166981132</v>
      </c>
      <c r="K633" s="1">
        <v>0.12924528299999999</v>
      </c>
      <c r="L633" s="1">
        <v>0.20754717</v>
      </c>
      <c r="M633" s="1" t="s">
        <v>16</v>
      </c>
      <c r="N633" s="1" t="s">
        <v>17</v>
      </c>
    </row>
    <row r="634" spans="1:14" ht="15.75" customHeight="1">
      <c r="A634" s="1">
        <v>0.92613564900000001</v>
      </c>
      <c r="B634" s="1">
        <v>1086</v>
      </c>
      <c r="C634" s="1">
        <v>21</v>
      </c>
      <c r="D634" s="1">
        <v>10089</v>
      </c>
      <c r="E634" s="1">
        <v>9792</v>
      </c>
      <c r="F634" s="1">
        <v>19584</v>
      </c>
      <c r="G634" s="1" t="s">
        <v>54</v>
      </c>
      <c r="H634" s="1">
        <v>0.29128630700000002</v>
      </c>
      <c r="I634" s="1">
        <v>0.15186722</v>
      </c>
      <c r="J634" s="1">
        <v>0.16265560200000001</v>
      </c>
      <c r="K634" s="1">
        <v>0.12614107899999999</v>
      </c>
      <c r="L634" s="1">
        <v>0.26804979299999998</v>
      </c>
      <c r="M634" s="1" t="s">
        <v>16</v>
      </c>
      <c r="N634" s="1" t="s">
        <v>17</v>
      </c>
    </row>
    <row r="635" spans="1:14" ht="15.75" customHeight="1">
      <c r="A635" s="1">
        <v>0.85660397399999999</v>
      </c>
      <c r="B635" s="1">
        <v>1261</v>
      </c>
      <c r="C635" s="1">
        <v>26</v>
      </c>
      <c r="D635" s="1">
        <v>40769</v>
      </c>
      <c r="E635" s="1">
        <v>13626</v>
      </c>
      <c r="F635" s="1">
        <v>41095</v>
      </c>
      <c r="G635" s="1" t="s">
        <v>54</v>
      </c>
      <c r="H635" s="1">
        <v>0.309223623</v>
      </c>
      <c r="I635" s="1">
        <v>0.16854678200000001</v>
      </c>
      <c r="J635" s="1">
        <v>0.17186463199999999</v>
      </c>
      <c r="K635" s="1">
        <v>0.10617120100000001</v>
      </c>
      <c r="L635" s="1">
        <v>0.24419376200000001</v>
      </c>
      <c r="M635" s="1" t="s">
        <v>16</v>
      </c>
      <c r="N635" s="1" t="s">
        <v>17</v>
      </c>
    </row>
    <row r="636" spans="1:14" ht="15.75" customHeight="1">
      <c r="A636" s="1">
        <v>0.577437859</v>
      </c>
      <c r="B636" s="1">
        <v>1049</v>
      </c>
      <c r="C636" s="1">
        <v>20</v>
      </c>
      <c r="D636" s="1">
        <v>4740</v>
      </c>
      <c r="E636" s="1">
        <v>8455</v>
      </c>
      <c r="F636" s="1">
        <v>19210</v>
      </c>
      <c r="G636" s="1" t="s">
        <v>54</v>
      </c>
      <c r="H636" s="1">
        <v>0.45970149300000002</v>
      </c>
      <c r="I636" s="1">
        <v>0.21791044800000001</v>
      </c>
      <c r="J636" s="1">
        <v>0.17611940300000001</v>
      </c>
      <c r="K636" s="1">
        <v>6.8656716000000007E-2</v>
      </c>
      <c r="L636" s="1">
        <v>7.7611940000000004E-2</v>
      </c>
      <c r="M636" s="1" t="s">
        <v>16</v>
      </c>
      <c r="N636" s="1" t="s">
        <v>17</v>
      </c>
    </row>
    <row r="637" spans="1:14" ht="15.75" customHeight="1">
      <c r="A637" s="1">
        <v>0.71673880599999995</v>
      </c>
      <c r="B637" s="1">
        <v>1174</v>
      </c>
      <c r="C637" s="1">
        <v>24</v>
      </c>
      <c r="D637" s="1">
        <v>27312</v>
      </c>
      <c r="E637" s="1">
        <v>9748</v>
      </c>
      <c r="F637" s="1">
        <v>28772</v>
      </c>
      <c r="G637" s="1" t="s">
        <v>54</v>
      </c>
      <c r="H637" s="1">
        <v>0.219159201</v>
      </c>
      <c r="I637" s="1">
        <v>0.130944176</v>
      </c>
      <c r="J637" s="1">
        <v>0.17022742900000001</v>
      </c>
      <c r="K637" s="1">
        <v>0.16471399</v>
      </c>
      <c r="L637" s="1">
        <v>0.31495520300000002</v>
      </c>
      <c r="M637" s="1" t="s">
        <v>16</v>
      </c>
      <c r="N637" s="1" t="s">
        <v>17</v>
      </c>
    </row>
    <row r="638" spans="1:14" ht="15.75" customHeight="1">
      <c r="A638" s="1">
        <v>0.57542194099999999</v>
      </c>
      <c r="B638" s="1">
        <v>916</v>
      </c>
      <c r="C638" s="1">
        <v>16</v>
      </c>
      <c r="D638" s="1">
        <v>1899</v>
      </c>
      <c r="E638" s="1">
        <v>9019</v>
      </c>
      <c r="F638" s="1">
        <v>17029</v>
      </c>
      <c r="G638" s="1" t="s">
        <v>54</v>
      </c>
      <c r="H638" s="1">
        <v>0.55311355299999998</v>
      </c>
      <c r="I638" s="1">
        <v>0.22710622699999999</v>
      </c>
      <c r="J638" s="1">
        <v>0.12087912100000001</v>
      </c>
      <c r="K638" s="1">
        <v>4.3956044E-2</v>
      </c>
      <c r="L638" s="1">
        <v>5.4945055E-2</v>
      </c>
      <c r="M638" s="1" t="s">
        <v>16</v>
      </c>
      <c r="N638" s="1" t="s">
        <v>17</v>
      </c>
    </row>
    <row r="639" spans="1:14" ht="15.75" customHeight="1">
      <c r="A639" s="1">
        <v>0.69672028900000005</v>
      </c>
      <c r="B639" s="1">
        <v>1119</v>
      </c>
      <c r="C639" s="1">
        <v>22</v>
      </c>
      <c r="D639" s="1">
        <v>7994</v>
      </c>
      <c r="E639" s="1">
        <v>7754</v>
      </c>
      <c r="F639" s="1">
        <v>13826</v>
      </c>
      <c r="G639" s="1" t="s">
        <v>54</v>
      </c>
      <c r="H639" s="1">
        <v>0.321428571</v>
      </c>
      <c r="I639" s="1">
        <v>0.16964285700000001</v>
      </c>
      <c r="J639" s="1">
        <v>0.16815476200000001</v>
      </c>
      <c r="K639" s="1">
        <v>0.15922618999999999</v>
      </c>
      <c r="L639" s="1">
        <v>0.18154761899999999</v>
      </c>
      <c r="M639" s="1" t="s">
        <v>16</v>
      </c>
      <c r="N639" s="1" t="s">
        <v>17</v>
      </c>
    </row>
    <row r="640" spans="1:14" ht="15.75" customHeight="1">
      <c r="A640" s="1">
        <v>0.96288743899999996</v>
      </c>
      <c r="B640" s="1">
        <v>1050</v>
      </c>
      <c r="C640" s="1">
        <v>20</v>
      </c>
      <c r="D640" s="1">
        <v>5993</v>
      </c>
      <c r="E640" s="1">
        <v>8508</v>
      </c>
      <c r="F640" s="1">
        <v>14502</v>
      </c>
      <c r="G640" s="1" t="s">
        <v>54</v>
      </c>
      <c r="H640" s="1">
        <v>0.40158370999999998</v>
      </c>
      <c r="I640" s="1">
        <v>0.22398190000000001</v>
      </c>
      <c r="J640" s="1">
        <v>0.18891402700000001</v>
      </c>
      <c r="K640" s="1">
        <v>9.7285068000000002E-2</v>
      </c>
      <c r="L640" s="1">
        <v>8.8235294000000006E-2</v>
      </c>
      <c r="M640" s="1" t="s">
        <v>16</v>
      </c>
      <c r="N640" s="1" t="s">
        <v>17</v>
      </c>
    </row>
    <row r="641" spans="1:14" ht="15.75" customHeight="1">
      <c r="A641" s="1">
        <v>0.90468963400000002</v>
      </c>
      <c r="B641" s="1">
        <v>1117</v>
      </c>
      <c r="C641" s="1">
        <v>22</v>
      </c>
      <c r="D641" s="1">
        <v>7426</v>
      </c>
      <c r="E641" s="1">
        <v>10118</v>
      </c>
      <c r="F641" s="1">
        <v>17258</v>
      </c>
      <c r="G641" s="1" t="s">
        <v>54</v>
      </c>
      <c r="H641" s="1">
        <v>0.30817051499999998</v>
      </c>
      <c r="I641" s="1">
        <v>0.19715808200000001</v>
      </c>
      <c r="J641" s="1">
        <v>0.17140319700000001</v>
      </c>
      <c r="K641" s="1">
        <v>0.13232682100000001</v>
      </c>
      <c r="L641" s="1">
        <v>0.19094138499999999</v>
      </c>
      <c r="M641" s="1" t="s">
        <v>16</v>
      </c>
      <c r="N641" s="1" t="s">
        <v>17</v>
      </c>
    </row>
    <row r="642" spans="1:14" ht="15.75" customHeight="1">
      <c r="A642" s="1">
        <v>1</v>
      </c>
      <c r="B642" s="1">
        <v>1020</v>
      </c>
      <c r="C642" s="1">
        <v>19</v>
      </c>
      <c r="D642" s="1">
        <v>1538</v>
      </c>
      <c r="E642" s="1">
        <v>3504</v>
      </c>
      <c r="F642" s="1">
        <v>4176</v>
      </c>
      <c r="G642" s="1" t="s">
        <v>54</v>
      </c>
      <c r="H642" s="1">
        <v>0.5</v>
      </c>
      <c r="I642" s="1">
        <v>0.16666666699999999</v>
      </c>
      <c r="J642" s="1">
        <v>0.19047618999999999</v>
      </c>
      <c r="K642" s="1">
        <v>0.11904761899999999</v>
      </c>
      <c r="L642" s="1">
        <v>2.3809523999999999E-2</v>
      </c>
      <c r="M642" s="1" t="s">
        <v>16</v>
      </c>
      <c r="N642" s="1" t="s">
        <v>17</v>
      </c>
    </row>
    <row r="643" spans="1:14" ht="15.75" customHeight="1">
      <c r="A643" s="1">
        <v>0.66587193499999997</v>
      </c>
      <c r="B643" s="1">
        <v>1050</v>
      </c>
      <c r="C643" s="1">
        <v>20</v>
      </c>
      <c r="D643" s="1">
        <v>2865</v>
      </c>
      <c r="E643" s="1">
        <v>9820</v>
      </c>
      <c r="F643" s="1">
        <v>15400</v>
      </c>
      <c r="G643" s="1" t="s">
        <v>54</v>
      </c>
      <c r="H643" s="1">
        <v>0.39058171699999999</v>
      </c>
      <c r="I643" s="1">
        <v>0.23268698099999999</v>
      </c>
      <c r="J643" s="1">
        <v>0.16897506900000001</v>
      </c>
      <c r="K643" s="1">
        <v>9.9722991999999996E-2</v>
      </c>
      <c r="L643" s="1">
        <v>0.108033241</v>
      </c>
      <c r="M643" s="1" t="s">
        <v>16</v>
      </c>
      <c r="N643" s="1" t="s">
        <v>17</v>
      </c>
    </row>
    <row r="644" spans="1:14" ht="15.75" customHeight="1">
      <c r="A644" s="1">
        <v>0.81471796799999996</v>
      </c>
      <c r="B644" s="1">
        <v>1050</v>
      </c>
      <c r="C644" s="1">
        <v>20</v>
      </c>
      <c r="D644" s="1">
        <v>4133</v>
      </c>
      <c r="E644" s="1">
        <v>6906</v>
      </c>
      <c r="F644" s="1">
        <v>13770</v>
      </c>
      <c r="G644" s="1" t="s">
        <v>54</v>
      </c>
      <c r="H644" s="1">
        <v>0.43551796999999998</v>
      </c>
      <c r="I644" s="1">
        <v>0.198731501</v>
      </c>
      <c r="J644" s="1">
        <v>0.20084566600000001</v>
      </c>
      <c r="K644" s="1">
        <v>7.6109937000000003E-2</v>
      </c>
      <c r="L644" s="1">
        <v>8.8794925999999996E-2</v>
      </c>
      <c r="M644" s="1" t="s">
        <v>16</v>
      </c>
      <c r="N644" s="1" t="s">
        <v>17</v>
      </c>
    </row>
    <row r="645" spans="1:14" ht="15.75" customHeight="1">
      <c r="A645" s="1">
        <v>0.77809046599999998</v>
      </c>
      <c r="B645" s="1">
        <v>1119</v>
      </c>
      <c r="C645" s="1">
        <v>25</v>
      </c>
      <c r="D645" s="1">
        <v>10686</v>
      </c>
      <c r="E645" s="1">
        <v>10017</v>
      </c>
      <c r="F645" s="1">
        <v>28209</v>
      </c>
      <c r="G645" s="1" t="s">
        <v>54</v>
      </c>
      <c r="H645" s="1">
        <v>0.284061697</v>
      </c>
      <c r="I645" s="1">
        <v>0.230077121</v>
      </c>
      <c r="J645" s="1">
        <v>0.187660668</v>
      </c>
      <c r="K645" s="1">
        <v>0.114395887</v>
      </c>
      <c r="L645" s="1">
        <v>0.183804627</v>
      </c>
      <c r="M645" s="1" t="s">
        <v>16</v>
      </c>
      <c r="N645" s="1" t="s">
        <v>17</v>
      </c>
    </row>
    <row r="646" spans="1:14" ht="15.75" customHeight="1">
      <c r="A646" s="1">
        <v>0.96565672000000002</v>
      </c>
      <c r="B646" s="1">
        <v>1140</v>
      </c>
      <c r="C646" s="1">
        <v>24</v>
      </c>
      <c r="D646" s="1">
        <v>8870</v>
      </c>
      <c r="E646" s="1">
        <v>9712</v>
      </c>
      <c r="F646" s="1">
        <v>20492</v>
      </c>
      <c r="G646" s="1" t="s">
        <v>54</v>
      </c>
      <c r="H646" s="1">
        <v>0.24517087700000001</v>
      </c>
      <c r="I646" s="1">
        <v>0.132243685</v>
      </c>
      <c r="J646" s="1">
        <v>0.190193165</v>
      </c>
      <c r="K646" s="1">
        <v>0.14710252600000001</v>
      </c>
      <c r="L646" s="1">
        <v>0.28528974699999998</v>
      </c>
      <c r="M646" s="1" t="s">
        <v>16</v>
      </c>
      <c r="N646" s="1" t="s">
        <v>17</v>
      </c>
    </row>
    <row r="647" spans="1:14" ht="15.75" customHeight="1">
      <c r="A647" s="1">
        <v>0.93204796599999995</v>
      </c>
      <c r="B647" s="1">
        <v>1084</v>
      </c>
      <c r="C647" s="1">
        <v>20</v>
      </c>
      <c r="D647" s="1">
        <v>3070</v>
      </c>
      <c r="E647" s="1">
        <v>9670</v>
      </c>
      <c r="F647" s="1">
        <v>20798</v>
      </c>
      <c r="G647" s="1" t="s">
        <v>54</v>
      </c>
      <c r="H647" s="1">
        <v>0.24691357999999999</v>
      </c>
      <c r="I647" s="1">
        <v>0.17901234599999999</v>
      </c>
      <c r="J647" s="1">
        <v>0.185185185</v>
      </c>
      <c r="K647" s="1">
        <v>0.104938272</v>
      </c>
      <c r="L647" s="1">
        <v>0.28395061700000002</v>
      </c>
      <c r="M647" s="1" t="s">
        <v>16</v>
      </c>
      <c r="N647" s="1" t="s">
        <v>17</v>
      </c>
    </row>
    <row r="648" spans="1:14" ht="15.75" customHeight="1">
      <c r="A648" s="1">
        <v>0.81394036299999994</v>
      </c>
      <c r="B648" s="1">
        <v>1070</v>
      </c>
      <c r="C648" s="1">
        <v>22</v>
      </c>
      <c r="D648" s="1">
        <v>7604</v>
      </c>
      <c r="E648" s="1">
        <v>9712</v>
      </c>
      <c r="F648" s="1">
        <v>24312</v>
      </c>
      <c r="G648" s="1" t="s">
        <v>54</v>
      </c>
      <c r="H648" s="1">
        <v>0.26140567199999998</v>
      </c>
      <c r="I648" s="1">
        <v>0.17632552400000001</v>
      </c>
      <c r="J648" s="1">
        <v>0.16276202200000001</v>
      </c>
      <c r="K648" s="1">
        <v>0.15043156599999999</v>
      </c>
      <c r="L648" s="1">
        <v>0.24907521599999999</v>
      </c>
      <c r="M648" s="1" t="s">
        <v>16</v>
      </c>
      <c r="N648" s="1" t="s">
        <v>17</v>
      </c>
    </row>
    <row r="649" spans="1:14" ht="15.75" customHeight="1">
      <c r="A649" s="1">
        <v>0.99137305499999995</v>
      </c>
      <c r="B649" s="1">
        <v>1014</v>
      </c>
      <c r="C649" s="1">
        <v>20</v>
      </c>
      <c r="D649" s="1">
        <v>14932</v>
      </c>
      <c r="E649" s="1">
        <v>10780</v>
      </c>
      <c r="F649" s="1">
        <v>29503</v>
      </c>
      <c r="G649" s="1" t="s">
        <v>54</v>
      </c>
      <c r="H649" s="1">
        <v>0.33960177000000003</v>
      </c>
      <c r="I649" s="1">
        <v>0.23340707999999999</v>
      </c>
      <c r="J649" s="1">
        <v>0.21128318600000001</v>
      </c>
      <c r="K649" s="1">
        <v>8.5176990999999994E-2</v>
      </c>
      <c r="L649" s="1">
        <v>0.13053097299999999</v>
      </c>
      <c r="M649" s="1" t="s">
        <v>16</v>
      </c>
      <c r="N649" s="1" t="s">
        <v>17</v>
      </c>
    </row>
    <row r="650" spans="1:14" ht="15.75" customHeight="1">
      <c r="A650" s="1">
        <v>0.864317695</v>
      </c>
      <c r="B650" s="1">
        <v>1077</v>
      </c>
      <c r="C650" s="1">
        <v>22</v>
      </c>
      <c r="D650" s="1">
        <v>5693</v>
      </c>
      <c r="E650" s="1">
        <v>12010</v>
      </c>
      <c r="F650" s="1">
        <v>26204</v>
      </c>
      <c r="G650" s="1" t="s">
        <v>54</v>
      </c>
      <c r="H650" s="1">
        <v>0.19354838699999999</v>
      </c>
      <c r="I650" s="1">
        <v>0.15483870999999999</v>
      </c>
      <c r="J650" s="1">
        <v>0.19677419400000001</v>
      </c>
      <c r="K650" s="1">
        <v>0.146774194</v>
      </c>
      <c r="L650" s="1">
        <v>0.30806451600000001</v>
      </c>
      <c r="M650" s="1" t="s">
        <v>16</v>
      </c>
      <c r="N650" s="1" t="s">
        <v>17</v>
      </c>
    </row>
    <row r="651" spans="1:14" ht="15.75" customHeight="1">
      <c r="A651" s="1">
        <v>0.99836423100000005</v>
      </c>
      <c r="B651" s="1">
        <v>1005</v>
      </c>
      <c r="C651" s="1">
        <v>22</v>
      </c>
      <c r="D651" s="1">
        <v>3028</v>
      </c>
      <c r="E651" s="1">
        <v>9401</v>
      </c>
      <c r="F651" s="1">
        <v>17242</v>
      </c>
      <c r="G651" s="1" t="s">
        <v>54</v>
      </c>
      <c r="H651" s="1">
        <v>0.36103151900000002</v>
      </c>
      <c r="I651" s="1">
        <v>0.24928366800000001</v>
      </c>
      <c r="J651" s="1">
        <v>0.146131805</v>
      </c>
      <c r="K651" s="1">
        <v>0.12607449900000001</v>
      </c>
      <c r="L651" s="1">
        <v>0.11747850999999999</v>
      </c>
      <c r="M651" s="1" t="s">
        <v>16</v>
      </c>
      <c r="N651" s="1" t="s">
        <v>17</v>
      </c>
    </row>
    <row r="652" spans="1:14" ht="15.75" customHeight="1">
      <c r="A652" s="1">
        <v>0.97471824600000001</v>
      </c>
      <c r="B652" s="1">
        <v>1130</v>
      </c>
      <c r="C652" s="1">
        <v>25</v>
      </c>
      <c r="D652" s="1">
        <v>1653</v>
      </c>
      <c r="E652" s="1">
        <v>11083</v>
      </c>
      <c r="F652" s="1">
        <v>23683</v>
      </c>
      <c r="G652" s="1" t="s">
        <v>54</v>
      </c>
      <c r="H652" s="1">
        <v>0.16568047299999999</v>
      </c>
      <c r="I652" s="1">
        <v>9.4674556000000007E-2</v>
      </c>
      <c r="J652" s="1">
        <v>0.201183432</v>
      </c>
      <c r="K652" s="1">
        <v>0.201183432</v>
      </c>
      <c r="L652" s="1">
        <v>0.33727810699999999</v>
      </c>
      <c r="M652" s="1" t="s">
        <v>16</v>
      </c>
      <c r="N652" s="1" t="s">
        <v>17</v>
      </c>
    </row>
    <row r="653" spans="1:14" ht="15.75" customHeight="1">
      <c r="A653" s="1">
        <v>0.75525235499999999</v>
      </c>
      <c r="B653" s="1">
        <v>1091</v>
      </c>
      <c r="C653" s="1">
        <v>23</v>
      </c>
      <c r="D653" s="1">
        <v>7670</v>
      </c>
      <c r="E653" s="1">
        <v>12460</v>
      </c>
      <c r="F653" s="1">
        <v>25736</v>
      </c>
      <c r="G653" s="1" t="s">
        <v>54</v>
      </c>
      <c r="H653" s="1">
        <v>0.22183098600000001</v>
      </c>
      <c r="I653" s="1">
        <v>0.15258215999999999</v>
      </c>
      <c r="J653" s="1">
        <v>0.15610328600000001</v>
      </c>
      <c r="K653" s="1">
        <v>0.16666666699999999</v>
      </c>
      <c r="L653" s="1">
        <v>0.30281690100000003</v>
      </c>
      <c r="M653" s="1" t="s">
        <v>16</v>
      </c>
      <c r="N653" s="1" t="s">
        <v>17</v>
      </c>
    </row>
    <row r="654" spans="1:14" ht="15.75" customHeight="1">
      <c r="A654" s="1">
        <v>0.81363386500000001</v>
      </c>
      <c r="B654" s="1">
        <v>1044</v>
      </c>
      <c r="C654" s="1">
        <v>23</v>
      </c>
      <c r="D654" s="1">
        <v>3434</v>
      </c>
      <c r="E654" s="1">
        <v>12763</v>
      </c>
      <c r="F654" s="1">
        <v>16095</v>
      </c>
      <c r="G654" s="1" t="s">
        <v>54</v>
      </c>
      <c r="H654" s="1">
        <v>0.42514970099999999</v>
      </c>
      <c r="I654" s="1">
        <v>0.103792415</v>
      </c>
      <c r="J654" s="1">
        <v>0.117764471</v>
      </c>
      <c r="K654" s="1">
        <v>0.115768463</v>
      </c>
      <c r="L654" s="1">
        <v>0.23752495000000001</v>
      </c>
      <c r="M654" s="1" t="s">
        <v>16</v>
      </c>
      <c r="N654" s="1" t="s">
        <v>17</v>
      </c>
    </row>
    <row r="655" spans="1:14" ht="15.75" customHeight="1">
      <c r="A655" s="1">
        <v>0.61667992599999999</v>
      </c>
      <c r="B655" s="1">
        <v>984</v>
      </c>
      <c r="C655" s="1">
        <v>23</v>
      </c>
      <c r="D655" s="1">
        <v>4630</v>
      </c>
      <c r="E655" s="1">
        <v>10314</v>
      </c>
      <c r="F655" s="1">
        <v>20250</v>
      </c>
      <c r="G655" s="1" t="s">
        <v>54</v>
      </c>
      <c r="H655" s="1">
        <v>0.36213991800000001</v>
      </c>
      <c r="I655" s="1">
        <v>0.21193415600000001</v>
      </c>
      <c r="J655" s="1">
        <v>0.24691357999999999</v>
      </c>
      <c r="K655" s="1">
        <v>8.2304527000000002E-2</v>
      </c>
      <c r="L655" s="1">
        <v>9.6707819E-2</v>
      </c>
      <c r="M655" s="1" t="s">
        <v>16</v>
      </c>
      <c r="N655" s="1" t="s">
        <v>17</v>
      </c>
    </row>
    <row r="656" spans="1:14" ht="15.75" customHeight="1">
      <c r="A656" s="1">
        <v>0.39521995199999999</v>
      </c>
      <c r="B656" s="1">
        <v>1277</v>
      </c>
      <c r="C656" s="1">
        <v>27</v>
      </c>
      <c r="D656" s="1">
        <v>59095</v>
      </c>
      <c r="E656" s="1">
        <v>6368</v>
      </c>
      <c r="F656" s="1">
        <v>22467</v>
      </c>
      <c r="G656" s="1" t="s">
        <v>54</v>
      </c>
      <c r="H656" s="1">
        <v>0.29471032699999999</v>
      </c>
      <c r="I656" s="1">
        <v>0.199832074</v>
      </c>
      <c r="J656" s="1">
        <v>0.198572628</v>
      </c>
      <c r="K656" s="1">
        <v>0.11922754000000001</v>
      </c>
      <c r="L656" s="1">
        <v>0.18765743100000001</v>
      </c>
      <c r="M656" s="1" t="s">
        <v>16</v>
      </c>
      <c r="N656" s="1" t="s">
        <v>17</v>
      </c>
    </row>
    <row r="657" spans="1:14" ht="15.75" customHeight="1">
      <c r="A657" s="1">
        <v>0.211200634</v>
      </c>
      <c r="B657" s="1">
        <v>1100</v>
      </c>
      <c r="C657" s="1">
        <v>22</v>
      </c>
      <c r="D657" s="1">
        <v>7516</v>
      </c>
      <c r="E657" s="1">
        <v>5785</v>
      </c>
      <c r="F657" s="1">
        <v>17725</v>
      </c>
      <c r="G657" s="1" t="s">
        <v>54</v>
      </c>
      <c r="H657" s="1">
        <v>0.308510638</v>
      </c>
      <c r="I657" s="1">
        <v>0.26861702100000001</v>
      </c>
      <c r="J657" s="1">
        <v>0.20611702100000001</v>
      </c>
      <c r="K657" s="1">
        <v>0.107712766</v>
      </c>
      <c r="L657" s="1">
        <v>0.109042553</v>
      </c>
      <c r="M657" s="1" t="s">
        <v>16</v>
      </c>
      <c r="N657" s="1" t="s">
        <v>17</v>
      </c>
    </row>
    <row r="658" spans="1:14" ht="15.75" customHeight="1">
      <c r="A658" s="1">
        <v>0.73442706099999999</v>
      </c>
      <c r="B658" s="1">
        <v>1119</v>
      </c>
      <c r="C658" s="1">
        <v>23</v>
      </c>
      <c r="D658" s="1">
        <v>23458</v>
      </c>
      <c r="E658" s="1">
        <v>4879</v>
      </c>
      <c r="F658" s="1">
        <v>17324</v>
      </c>
      <c r="G658" s="1" t="s">
        <v>54</v>
      </c>
      <c r="H658" s="1">
        <v>0.32362728800000001</v>
      </c>
      <c r="I658" s="1">
        <v>0.211314476</v>
      </c>
      <c r="J658" s="1">
        <v>0.18801996700000001</v>
      </c>
      <c r="K658" s="1">
        <v>0.103161398</v>
      </c>
      <c r="L658" s="1">
        <v>0.17387687199999999</v>
      </c>
      <c r="M658" s="1" t="s">
        <v>16</v>
      </c>
      <c r="N658" s="1" t="s">
        <v>17</v>
      </c>
    </row>
    <row r="659" spans="1:14" ht="15.75" customHeight="1">
      <c r="A659" s="1">
        <v>0.62268175100000001</v>
      </c>
      <c r="B659" s="1">
        <v>1115</v>
      </c>
      <c r="C659" s="1">
        <v>23</v>
      </c>
      <c r="D659" s="1">
        <v>13915</v>
      </c>
      <c r="E659" s="1">
        <v>6389</v>
      </c>
      <c r="F659" s="1">
        <v>20793</v>
      </c>
      <c r="G659" s="1" t="s">
        <v>54</v>
      </c>
      <c r="H659" s="1">
        <v>0.34208707700000002</v>
      </c>
      <c r="I659" s="1">
        <v>0.19972356599999999</v>
      </c>
      <c r="J659" s="1">
        <v>0.19212163099999999</v>
      </c>
      <c r="K659" s="1">
        <v>0.119557706</v>
      </c>
      <c r="L659" s="1">
        <v>0.14651002099999999</v>
      </c>
      <c r="M659" s="1" t="s">
        <v>16</v>
      </c>
      <c r="N659" s="1" t="s">
        <v>17</v>
      </c>
    </row>
    <row r="660" spans="1:14" ht="15.75" customHeight="1">
      <c r="A660" s="1">
        <v>0.56871121999999996</v>
      </c>
      <c r="B660" s="1">
        <v>1137</v>
      </c>
      <c r="C660" s="1">
        <v>23</v>
      </c>
      <c r="D660" s="1">
        <v>9042</v>
      </c>
      <c r="E660" s="1">
        <v>6360</v>
      </c>
      <c r="F660" s="1">
        <v>19241</v>
      </c>
      <c r="G660" s="1" t="s">
        <v>54</v>
      </c>
      <c r="H660" s="1">
        <v>0.299287411</v>
      </c>
      <c r="I660" s="1">
        <v>0.18289786199999999</v>
      </c>
      <c r="J660" s="1">
        <v>0.213776722</v>
      </c>
      <c r="K660" s="1">
        <v>0.114014252</v>
      </c>
      <c r="L660" s="1">
        <v>0.19002375299999999</v>
      </c>
      <c r="M660" s="1" t="s">
        <v>16</v>
      </c>
      <c r="N660" s="1" t="s">
        <v>17</v>
      </c>
    </row>
    <row r="661" spans="1:14" ht="15.75" customHeight="1">
      <c r="A661" s="1">
        <v>0.77158135999999999</v>
      </c>
      <c r="B661" s="1">
        <v>994</v>
      </c>
      <c r="C661" s="1">
        <v>18</v>
      </c>
      <c r="D661" s="1">
        <v>3218</v>
      </c>
      <c r="E661" s="1">
        <v>3195</v>
      </c>
      <c r="F661" s="1">
        <v>10101</v>
      </c>
      <c r="G661" s="1" t="s">
        <v>54</v>
      </c>
      <c r="H661" s="1">
        <v>0.345537757</v>
      </c>
      <c r="I661" s="1">
        <v>0.249427918</v>
      </c>
      <c r="J661" s="1">
        <v>0.178489703</v>
      </c>
      <c r="K661" s="1">
        <v>0.105263158</v>
      </c>
      <c r="L661" s="1">
        <v>0.121281465</v>
      </c>
      <c r="M661" s="1" t="s">
        <v>16</v>
      </c>
      <c r="N661" s="1" t="s">
        <v>17</v>
      </c>
    </row>
    <row r="662" spans="1:14" ht="15.75" customHeight="1">
      <c r="A662" s="1">
        <v>0.985086342</v>
      </c>
      <c r="B662" s="1">
        <v>1001</v>
      </c>
      <c r="C662" s="1">
        <v>18</v>
      </c>
      <c r="D662" s="1">
        <v>2794</v>
      </c>
      <c r="E662" s="1">
        <v>3483</v>
      </c>
      <c r="F662" s="1">
        <v>10389</v>
      </c>
      <c r="G662" s="1" t="s">
        <v>54</v>
      </c>
      <c r="H662" s="1">
        <v>0.40051020399999998</v>
      </c>
      <c r="I662" s="1">
        <v>0.206632653</v>
      </c>
      <c r="J662" s="1">
        <v>0.16581632700000001</v>
      </c>
      <c r="K662" s="1">
        <v>9.6938776000000004E-2</v>
      </c>
      <c r="L662" s="1">
        <v>0.130102041</v>
      </c>
      <c r="M662" s="1" t="s">
        <v>16</v>
      </c>
      <c r="N662" s="1" t="s">
        <v>17</v>
      </c>
    </row>
    <row r="663" spans="1:14" ht="15.75" customHeight="1">
      <c r="A663" s="1">
        <v>0.70594837300000002</v>
      </c>
      <c r="B663" s="1">
        <v>973</v>
      </c>
      <c r="C663" s="1">
        <v>18</v>
      </c>
      <c r="D663" s="1">
        <v>4390</v>
      </c>
      <c r="E663" s="1">
        <v>5068</v>
      </c>
      <c r="F663" s="1">
        <v>15790</v>
      </c>
      <c r="G663" s="1" t="s">
        <v>54</v>
      </c>
      <c r="H663" s="1">
        <v>0.44525547399999998</v>
      </c>
      <c r="I663" s="1">
        <v>0.22141119200000001</v>
      </c>
      <c r="J663" s="1">
        <v>0.19951338199999999</v>
      </c>
      <c r="K663" s="1">
        <v>7.5425791000000006E-2</v>
      </c>
      <c r="L663" s="1">
        <v>5.8394161E-2</v>
      </c>
      <c r="M663" s="1" t="s">
        <v>16</v>
      </c>
      <c r="N663" s="1" t="s">
        <v>17</v>
      </c>
    </row>
    <row r="664" spans="1:14" ht="15.75" customHeight="1">
      <c r="A664" s="1">
        <v>0.99239436599999997</v>
      </c>
      <c r="B664" s="1">
        <v>994</v>
      </c>
      <c r="C664" s="1">
        <v>20</v>
      </c>
      <c r="D664" s="1">
        <v>5537</v>
      </c>
      <c r="E664" s="1">
        <v>5751</v>
      </c>
      <c r="F664" s="1">
        <v>16805</v>
      </c>
      <c r="G664" s="1" t="s">
        <v>54</v>
      </c>
      <c r="H664" s="1">
        <v>0.41887905600000003</v>
      </c>
      <c r="I664" s="1">
        <v>0.227138643</v>
      </c>
      <c r="J664" s="1">
        <v>0.178466077</v>
      </c>
      <c r="K664" s="1">
        <v>8.2595870000000002E-2</v>
      </c>
      <c r="L664" s="1">
        <v>9.2920353999999997E-2</v>
      </c>
      <c r="M664" s="1" t="s">
        <v>16</v>
      </c>
      <c r="N664" s="1" t="s">
        <v>17</v>
      </c>
    </row>
    <row r="665" spans="1:14" ht="15.75" customHeight="1">
      <c r="A665" s="1">
        <v>0.627952756</v>
      </c>
      <c r="B665" s="1">
        <v>864</v>
      </c>
      <c r="C665" s="1">
        <v>17</v>
      </c>
      <c r="D665" s="1">
        <v>2541</v>
      </c>
      <c r="E665" s="1">
        <v>5392</v>
      </c>
      <c r="F665" s="1">
        <v>16114</v>
      </c>
      <c r="G665" s="1" t="s">
        <v>54</v>
      </c>
      <c r="H665" s="1">
        <v>0.48898678400000001</v>
      </c>
      <c r="I665" s="1">
        <v>0.23127753300000001</v>
      </c>
      <c r="J665" s="1">
        <v>0.14317180600000001</v>
      </c>
      <c r="K665" s="1">
        <v>6.6079294999999996E-2</v>
      </c>
      <c r="L665" s="1">
        <v>7.0484581000000004E-2</v>
      </c>
      <c r="M665" s="1" t="s">
        <v>16</v>
      </c>
      <c r="N665" s="1" t="s">
        <v>17</v>
      </c>
    </row>
    <row r="666" spans="1:14" ht="15.75" customHeight="1">
      <c r="A666" s="1">
        <v>0.77163814200000003</v>
      </c>
      <c r="B666" s="1">
        <v>998</v>
      </c>
      <c r="C666" s="1">
        <v>18</v>
      </c>
      <c r="D666" s="1">
        <v>2291</v>
      </c>
      <c r="E666" s="1">
        <v>4980</v>
      </c>
      <c r="F666" s="1">
        <v>15702</v>
      </c>
      <c r="G666" s="1" t="s">
        <v>54</v>
      </c>
      <c r="H666" s="1">
        <v>0.43063583799999999</v>
      </c>
      <c r="I666" s="1">
        <v>0.19075144499999999</v>
      </c>
      <c r="J666" s="1">
        <v>0.187861272</v>
      </c>
      <c r="K666" s="1">
        <v>0.104046243</v>
      </c>
      <c r="L666" s="1">
        <v>8.6705201999999995E-2</v>
      </c>
      <c r="M666" s="1" t="s">
        <v>16</v>
      </c>
      <c r="N666" s="1" t="s">
        <v>17</v>
      </c>
    </row>
    <row r="667" spans="1:14" ht="15.75" customHeight="1">
      <c r="A667" s="1">
        <v>0.877695526</v>
      </c>
      <c r="B667" s="1">
        <v>1150</v>
      </c>
      <c r="C667" s="1">
        <v>23</v>
      </c>
      <c r="D667" s="1">
        <v>5599</v>
      </c>
      <c r="E667" s="1">
        <v>8998</v>
      </c>
      <c r="F667" s="1">
        <v>28178</v>
      </c>
      <c r="G667" s="1" t="s">
        <v>54</v>
      </c>
      <c r="H667" s="1">
        <v>0.12546125499999999</v>
      </c>
      <c r="I667" s="1">
        <v>0.12546125499999999</v>
      </c>
      <c r="J667" s="1">
        <v>0.15313653099999999</v>
      </c>
      <c r="K667" s="1">
        <v>0.16789667899999999</v>
      </c>
      <c r="L667" s="1">
        <v>0.42804428</v>
      </c>
      <c r="M667" s="1" t="s">
        <v>16</v>
      </c>
      <c r="N667" s="1" t="s">
        <v>17</v>
      </c>
    </row>
    <row r="668" spans="1:14" ht="15.75" customHeight="1">
      <c r="A668" s="1">
        <v>0.89632199899999998</v>
      </c>
      <c r="B668" s="1">
        <v>1057</v>
      </c>
      <c r="C668" s="1">
        <v>20</v>
      </c>
      <c r="D668" s="1">
        <v>21029</v>
      </c>
      <c r="E668" s="1">
        <v>5905</v>
      </c>
      <c r="F668" s="1">
        <v>16959</v>
      </c>
      <c r="G668" s="1" t="s">
        <v>54</v>
      </c>
      <c r="H668" s="1">
        <v>0.263906315</v>
      </c>
      <c r="I668" s="1">
        <v>0.18109577600000001</v>
      </c>
      <c r="J668" s="1">
        <v>0.16771225400000001</v>
      </c>
      <c r="K668" s="1">
        <v>0.13801756600000001</v>
      </c>
      <c r="L668" s="1">
        <v>0.249268089</v>
      </c>
      <c r="M668" s="1" t="s">
        <v>16</v>
      </c>
      <c r="N668" s="1" t="s">
        <v>17</v>
      </c>
    </row>
    <row r="669" spans="1:14" ht="15.75" customHeight="1">
      <c r="A669" s="1">
        <v>0.73537359999999996</v>
      </c>
      <c r="B669" s="1">
        <v>1149</v>
      </c>
      <c r="C669" s="1">
        <v>22</v>
      </c>
      <c r="D669" s="1">
        <v>27109</v>
      </c>
      <c r="E669" s="1">
        <v>8478</v>
      </c>
      <c r="F669" s="1">
        <v>23709</v>
      </c>
      <c r="G669" s="1" t="s">
        <v>54</v>
      </c>
      <c r="H669" s="1">
        <v>0.35081967200000003</v>
      </c>
      <c r="I669" s="1">
        <v>0.23219076</v>
      </c>
      <c r="J669" s="1">
        <v>0.19046199699999999</v>
      </c>
      <c r="K669" s="1">
        <v>9.5380030000000005E-2</v>
      </c>
      <c r="L669" s="1">
        <v>0.13114754100000001</v>
      </c>
      <c r="M669" s="1" t="s">
        <v>16</v>
      </c>
      <c r="N669" s="1" t="s">
        <v>17</v>
      </c>
    </row>
    <row r="670" spans="1:14" ht="15.75" customHeight="1">
      <c r="A670" s="1">
        <v>0.86782690500000004</v>
      </c>
      <c r="B670" s="1">
        <v>950</v>
      </c>
      <c r="C670" s="1">
        <v>17</v>
      </c>
      <c r="D670" s="1">
        <v>2605</v>
      </c>
      <c r="E670" s="1">
        <v>3475</v>
      </c>
      <c r="F670" s="1">
        <v>10381</v>
      </c>
      <c r="G670" s="1" t="s">
        <v>54</v>
      </c>
      <c r="H670" s="1">
        <v>0.43068391900000003</v>
      </c>
      <c r="I670" s="1">
        <v>0.26617375199999999</v>
      </c>
      <c r="J670" s="1">
        <v>0.149722736</v>
      </c>
      <c r="K670" s="1">
        <v>8.6876154999999997E-2</v>
      </c>
      <c r="L670" s="1">
        <v>6.6543437999999996E-2</v>
      </c>
      <c r="M670" s="1" t="s">
        <v>16</v>
      </c>
      <c r="N670" s="1" t="s">
        <v>17</v>
      </c>
    </row>
    <row r="671" spans="1:14" ht="15.75" customHeight="1">
      <c r="A671" s="1">
        <v>0.83493282099999999</v>
      </c>
      <c r="B671" s="1">
        <v>1037</v>
      </c>
      <c r="C671" s="1">
        <v>20</v>
      </c>
      <c r="D671" s="1">
        <v>6858</v>
      </c>
      <c r="E671" s="1">
        <v>6007</v>
      </c>
      <c r="F671" s="1">
        <v>17062</v>
      </c>
      <c r="G671" s="1" t="s">
        <v>54</v>
      </c>
      <c r="H671" s="1">
        <v>0.417322835</v>
      </c>
      <c r="I671" s="1">
        <v>0.22677165399999999</v>
      </c>
      <c r="J671" s="1">
        <v>0.146456693</v>
      </c>
      <c r="K671" s="1">
        <v>0.12125984300000001</v>
      </c>
      <c r="L671" s="1">
        <v>8.8188976000000002E-2</v>
      </c>
      <c r="M671" s="1" t="s">
        <v>16</v>
      </c>
      <c r="N671" s="1" t="s">
        <v>17</v>
      </c>
    </row>
    <row r="672" spans="1:14" ht="15.75" customHeight="1">
      <c r="A672" s="1">
        <v>0.49374925600000003</v>
      </c>
      <c r="B672" s="1">
        <v>1044</v>
      </c>
      <c r="C672" s="1">
        <v>20</v>
      </c>
      <c r="D672" s="1">
        <v>7485</v>
      </c>
      <c r="E672" s="1">
        <v>5971</v>
      </c>
      <c r="F672" s="1">
        <v>17024</v>
      </c>
      <c r="G672" s="1" t="s">
        <v>54</v>
      </c>
      <c r="H672" s="1">
        <v>0.31124260399999998</v>
      </c>
      <c r="I672" s="1">
        <v>0.185798817</v>
      </c>
      <c r="J672" s="1">
        <v>0.190532544</v>
      </c>
      <c r="K672" s="1">
        <v>0.133727811</v>
      </c>
      <c r="L672" s="1">
        <v>0.17869822499999999</v>
      </c>
      <c r="M672" s="1" t="s">
        <v>16</v>
      </c>
      <c r="N672" s="1" t="s">
        <v>17</v>
      </c>
    </row>
    <row r="673" spans="1:14" ht="15.75" customHeight="1">
      <c r="A673" s="1">
        <v>0.89773614400000001</v>
      </c>
      <c r="B673" s="1">
        <v>1025</v>
      </c>
      <c r="C673" s="1">
        <v>19</v>
      </c>
      <c r="D673" s="1">
        <v>2260</v>
      </c>
      <c r="E673" s="1">
        <v>7838</v>
      </c>
      <c r="F673" s="1">
        <v>20798</v>
      </c>
      <c r="G673" s="1" t="s">
        <v>54</v>
      </c>
      <c r="H673" s="1">
        <v>0.33333333300000001</v>
      </c>
      <c r="I673" s="1">
        <v>0.17333333300000001</v>
      </c>
      <c r="J673" s="1">
        <v>0.22666666699999999</v>
      </c>
      <c r="K673" s="1">
        <v>0.16</v>
      </c>
      <c r="L673" s="1">
        <v>0.10666666700000001</v>
      </c>
      <c r="M673" s="1" t="s">
        <v>16</v>
      </c>
      <c r="N673" s="1" t="s">
        <v>17</v>
      </c>
    </row>
    <row r="674" spans="1:14" ht="15.75" customHeight="1">
      <c r="A674" s="1">
        <v>0.69689240500000005</v>
      </c>
      <c r="B674" s="1">
        <v>1157</v>
      </c>
      <c r="C674" s="1">
        <v>24</v>
      </c>
      <c r="D674" s="1">
        <v>14306</v>
      </c>
      <c r="E674" s="1">
        <v>12186</v>
      </c>
      <c r="F674" s="1">
        <v>34218</v>
      </c>
      <c r="G674" s="1" t="s">
        <v>54</v>
      </c>
      <c r="H674" s="1">
        <v>0.256032172</v>
      </c>
      <c r="I674" s="1">
        <v>0.19034852499999999</v>
      </c>
      <c r="J674" s="1">
        <v>0.205093834</v>
      </c>
      <c r="K674" s="1">
        <v>0.132707775</v>
      </c>
      <c r="L674" s="1">
        <v>0.215817694</v>
      </c>
      <c r="M674" s="1" t="s">
        <v>16</v>
      </c>
      <c r="N674" s="1" t="s">
        <v>17</v>
      </c>
    </row>
    <row r="675" spans="1:14" ht="15.75" customHeight="1">
      <c r="A675" s="1">
        <v>0.95599999999999996</v>
      </c>
      <c r="B675" s="1">
        <v>973</v>
      </c>
      <c r="C675" s="1">
        <v>17</v>
      </c>
      <c r="D675" s="1">
        <v>2510</v>
      </c>
      <c r="E675" s="1">
        <v>7584</v>
      </c>
      <c r="F675" s="1">
        <v>20544</v>
      </c>
      <c r="G675" s="1" t="s">
        <v>54</v>
      </c>
      <c r="H675" s="1">
        <v>0.26436781599999998</v>
      </c>
      <c r="I675" s="1">
        <v>0.16091954</v>
      </c>
      <c r="J675" s="1">
        <v>0.26436781599999998</v>
      </c>
      <c r="K675" s="1">
        <v>0.16091954</v>
      </c>
      <c r="L675" s="1">
        <v>0.14942528699999999</v>
      </c>
      <c r="M675" s="1" t="s">
        <v>16</v>
      </c>
      <c r="N675" s="1" t="s">
        <v>17</v>
      </c>
    </row>
    <row r="676" spans="1:14" ht="15.75" customHeight="1">
      <c r="A676" s="1">
        <v>0.79086892499999994</v>
      </c>
      <c r="B676" s="1">
        <v>1088</v>
      </c>
      <c r="C676" s="1">
        <v>25</v>
      </c>
      <c r="D676" s="1">
        <v>7363</v>
      </c>
      <c r="E676" s="1">
        <v>8816</v>
      </c>
      <c r="F676" s="1">
        <v>29784</v>
      </c>
      <c r="G676" s="1" t="s">
        <v>54</v>
      </c>
      <c r="H676" s="1">
        <v>0.22171253799999999</v>
      </c>
      <c r="I676" s="1">
        <v>0.16513761499999999</v>
      </c>
      <c r="J676" s="1">
        <v>0.212538226</v>
      </c>
      <c r="K676" s="1">
        <v>0.185015291</v>
      </c>
      <c r="L676" s="1">
        <v>0.21559633</v>
      </c>
      <c r="M676" s="1" t="s">
        <v>16</v>
      </c>
      <c r="N676" s="1" t="s">
        <v>17</v>
      </c>
    </row>
    <row r="677" spans="1:14" ht="15.75" customHeight="1">
      <c r="A677" s="1">
        <v>0.89010725899999998</v>
      </c>
      <c r="B677" s="1">
        <v>1127</v>
      </c>
      <c r="C677" s="1">
        <v>24</v>
      </c>
      <c r="D677" s="1">
        <v>18414</v>
      </c>
      <c r="E677" s="1">
        <v>16021</v>
      </c>
      <c r="F677" s="1">
        <v>28086</v>
      </c>
      <c r="G677" s="1" t="s">
        <v>54</v>
      </c>
      <c r="H677" s="1">
        <v>0.220039293</v>
      </c>
      <c r="I677" s="1">
        <v>0.16581532399999999</v>
      </c>
      <c r="J677" s="1">
        <v>0.14695481299999999</v>
      </c>
      <c r="K677" s="1">
        <v>0.12809430299999999</v>
      </c>
      <c r="L677" s="1">
        <v>0.33909626700000001</v>
      </c>
      <c r="M677" s="1" t="s">
        <v>16</v>
      </c>
      <c r="N677" s="1" t="s">
        <v>17</v>
      </c>
    </row>
    <row r="678" spans="1:14" ht="15.75" customHeight="1">
      <c r="A678" s="1">
        <v>0.84368737500000002</v>
      </c>
      <c r="B678" s="1">
        <v>1118</v>
      </c>
      <c r="C678" s="1">
        <v>25</v>
      </c>
      <c r="D678" s="1">
        <v>2292</v>
      </c>
      <c r="E678" s="1">
        <v>12252</v>
      </c>
      <c r="F678" s="1">
        <v>22017</v>
      </c>
      <c r="G678" s="1" t="s">
        <v>54</v>
      </c>
      <c r="H678" s="1">
        <v>0.24</v>
      </c>
      <c r="I678" s="1">
        <v>0.20799999999999999</v>
      </c>
      <c r="J678" s="1">
        <v>0.16</v>
      </c>
      <c r="K678" s="1">
        <v>0.128</v>
      </c>
      <c r="L678" s="1">
        <v>0.26400000000000001</v>
      </c>
      <c r="M678" s="1" t="s">
        <v>16</v>
      </c>
      <c r="N678" s="1" t="s">
        <v>17</v>
      </c>
    </row>
    <row r="679" spans="1:14" ht="15.75" customHeight="1">
      <c r="A679" s="1">
        <v>0.90443226600000004</v>
      </c>
      <c r="B679" s="1">
        <v>1060</v>
      </c>
      <c r="C679" s="1">
        <v>24</v>
      </c>
      <c r="D679" s="1">
        <v>8116</v>
      </c>
      <c r="E679" s="1">
        <v>13244</v>
      </c>
      <c r="F679" s="1">
        <v>13244</v>
      </c>
      <c r="G679" s="1" t="s">
        <v>54</v>
      </c>
      <c r="H679" s="1">
        <v>0.32804232799999999</v>
      </c>
      <c r="I679" s="1">
        <v>0.195767196</v>
      </c>
      <c r="J679" s="1">
        <v>0.15238095199999999</v>
      </c>
      <c r="K679" s="1">
        <v>0.101587302</v>
      </c>
      <c r="L679" s="1">
        <v>0.222222222</v>
      </c>
      <c r="M679" s="1" t="s">
        <v>16</v>
      </c>
      <c r="N679" s="1" t="s">
        <v>17</v>
      </c>
    </row>
    <row r="680" spans="1:14" ht="15.75" customHeight="1">
      <c r="A680" s="1">
        <v>0.97213830099999998</v>
      </c>
      <c r="B680" s="1">
        <v>1063</v>
      </c>
      <c r="C680" s="1">
        <v>23</v>
      </c>
      <c r="D680" s="1">
        <v>8836</v>
      </c>
      <c r="E680" s="1">
        <v>12922</v>
      </c>
      <c r="F680" s="1">
        <v>12922</v>
      </c>
      <c r="G680" s="1" t="s">
        <v>54</v>
      </c>
      <c r="H680" s="1">
        <v>0.22869198299999999</v>
      </c>
      <c r="I680" s="1">
        <v>0.167088608</v>
      </c>
      <c r="J680" s="1">
        <v>0.18818565400000001</v>
      </c>
      <c r="K680" s="1">
        <v>0.14177215200000001</v>
      </c>
      <c r="L680" s="1">
        <v>0.27426160300000002</v>
      </c>
      <c r="M680" s="1" t="s">
        <v>16</v>
      </c>
      <c r="N680" s="1" t="s">
        <v>17</v>
      </c>
    </row>
    <row r="681" spans="1:14" ht="15.75" customHeight="1">
      <c r="A681" s="1">
        <v>0.71595507199999997</v>
      </c>
      <c r="B681" s="1">
        <v>1172</v>
      </c>
      <c r="C681" s="1">
        <v>27</v>
      </c>
      <c r="D681" s="1">
        <v>13770</v>
      </c>
      <c r="E681" s="1">
        <v>10758</v>
      </c>
      <c r="F681" s="1">
        <v>28766</v>
      </c>
      <c r="G681" s="1" t="s">
        <v>54</v>
      </c>
      <c r="H681" s="1">
        <v>0.19857433799999999</v>
      </c>
      <c r="I681" s="1">
        <v>0.13306177899999999</v>
      </c>
      <c r="J681" s="1">
        <v>0.14731839799999999</v>
      </c>
      <c r="K681" s="1">
        <v>0.17888662599999999</v>
      </c>
      <c r="L681" s="1">
        <v>0.34215885899999998</v>
      </c>
      <c r="M681" s="1" t="s">
        <v>16</v>
      </c>
      <c r="N681" s="1" t="s">
        <v>17</v>
      </c>
    </row>
    <row r="682" spans="1:14" ht="15.75" customHeight="1">
      <c r="A682" s="1">
        <v>0.85663470500000005</v>
      </c>
      <c r="B682" s="1">
        <v>1078</v>
      </c>
      <c r="C682" s="1">
        <v>23</v>
      </c>
      <c r="D682" s="1">
        <v>5450</v>
      </c>
      <c r="E682" s="1">
        <v>9254</v>
      </c>
      <c r="F682" s="1">
        <v>22220</v>
      </c>
      <c r="G682" s="1" t="s">
        <v>54</v>
      </c>
      <c r="H682" s="1">
        <v>0.27643504499999999</v>
      </c>
      <c r="I682" s="1">
        <v>0.19184290000000001</v>
      </c>
      <c r="J682" s="1">
        <v>0.18429002999999999</v>
      </c>
      <c r="K682" s="1">
        <v>0.14803625400000001</v>
      </c>
      <c r="L682" s="1">
        <v>0.19939577</v>
      </c>
      <c r="M682" s="1" t="s">
        <v>16</v>
      </c>
      <c r="N682" s="1" t="s">
        <v>17</v>
      </c>
    </row>
    <row r="683" spans="1:14" ht="15.75" customHeight="1">
      <c r="A683" s="1">
        <v>0.81393572999999997</v>
      </c>
      <c r="B683" s="1">
        <v>1146</v>
      </c>
      <c r="C683" s="1">
        <v>24</v>
      </c>
      <c r="D683" s="1">
        <v>16582</v>
      </c>
      <c r="E683" s="1">
        <v>10449</v>
      </c>
      <c r="F683" s="1">
        <v>33717</v>
      </c>
      <c r="G683" s="1" t="s">
        <v>54</v>
      </c>
      <c r="H683" s="1">
        <v>0.28771602099999999</v>
      </c>
      <c r="I683" s="1">
        <v>0.197104157</v>
      </c>
      <c r="J683" s="1">
        <v>0.181223727</v>
      </c>
      <c r="K683" s="1">
        <v>0.15366651100000001</v>
      </c>
      <c r="L683" s="1">
        <v>0.180289584</v>
      </c>
      <c r="M683" s="1" t="s">
        <v>16</v>
      </c>
      <c r="N683" s="1" t="s">
        <v>17</v>
      </c>
    </row>
    <row r="684" spans="1:14" ht="15.75" customHeight="1">
      <c r="A684" s="1">
        <v>0.94649362500000001</v>
      </c>
      <c r="B684" s="1">
        <v>1131</v>
      </c>
      <c r="C684" s="1">
        <v>24</v>
      </c>
      <c r="D684" s="1">
        <v>5344</v>
      </c>
      <c r="E684" s="1">
        <v>10136</v>
      </c>
      <c r="F684" s="1">
        <v>22573</v>
      </c>
      <c r="G684" s="1" t="s">
        <v>54</v>
      </c>
      <c r="H684" s="1">
        <v>0.23753665700000001</v>
      </c>
      <c r="I684" s="1">
        <v>0.177419355</v>
      </c>
      <c r="J684" s="1">
        <v>0.195014663</v>
      </c>
      <c r="K684" s="1">
        <v>0.16422287399999999</v>
      </c>
      <c r="L684" s="1">
        <v>0.22580645199999999</v>
      </c>
      <c r="M684" s="1" t="s">
        <v>16</v>
      </c>
      <c r="N684" s="1" t="s">
        <v>17</v>
      </c>
    </row>
    <row r="685" spans="1:14" ht="15.75" customHeight="1">
      <c r="A685" s="1">
        <v>0.84690220199999999</v>
      </c>
      <c r="B685" s="1">
        <v>1063</v>
      </c>
      <c r="C685" s="1">
        <v>22</v>
      </c>
      <c r="D685" s="1">
        <v>2308</v>
      </c>
      <c r="E685" s="1">
        <v>8179</v>
      </c>
      <c r="F685" s="1">
        <v>22043</v>
      </c>
      <c r="G685" s="1" t="s">
        <v>54</v>
      </c>
      <c r="H685" s="1">
        <v>0.27090301</v>
      </c>
      <c r="I685" s="1">
        <v>0.20066889600000001</v>
      </c>
      <c r="J685" s="1">
        <v>0.18729097</v>
      </c>
      <c r="K685" s="1">
        <v>0.16387959899999999</v>
      </c>
      <c r="L685" s="1">
        <v>0.177257525</v>
      </c>
      <c r="M685" s="1" t="s">
        <v>16</v>
      </c>
      <c r="N685" s="1" t="s">
        <v>17</v>
      </c>
    </row>
    <row r="686" spans="1:14" ht="15.75" customHeight="1">
      <c r="A686" s="1">
        <v>0.859920778</v>
      </c>
      <c r="B686" s="1">
        <v>1072</v>
      </c>
      <c r="C686" s="1">
        <v>22</v>
      </c>
      <c r="D686" s="1">
        <v>3807</v>
      </c>
      <c r="E686" s="1">
        <v>8179</v>
      </c>
      <c r="F686" s="1">
        <v>22043</v>
      </c>
      <c r="G686" s="1" t="s">
        <v>54</v>
      </c>
      <c r="H686" s="1">
        <v>0.31198347100000001</v>
      </c>
      <c r="I686" s="1">
        <v>0.20661156999999999</v>
      </c>
      <c r="J686" s="1">
        <v>0.21074380200000001</v>
      </c>
      <c r="K686" s="1">
        <v>0.150826446</v>
      </c>
      <c r="L686" s="1">
        <v>0.119834711</v>
      </c>
      <c r="M686" s="1" t="s">
        <v>16</v>
      </c>
      <c r="N686" s="1" t="s">
        <v>17</v>
      </c>
    </row>
    <row r="687" spans="1:14" ht="15.75" customHeight="1">
      <c r="A687" s="1">
        <v>0.767021277</v>
      </c>
      <c r="B687" s="1">
        <v>1067</v>
      </c>
      <c r="C687" s="1">
        <v>23</v>
      </c>
      <c r="D687" s="1">
        <v>2582</v>
      </c>
      <c r="E687" s="1">
        <v>8179</v>
      </c>
      <c r="F687" s="1">
        <v>22043</v>
      </c>
      <c r="G687" s="1" t="s">
        <v>54</v>
      </c>
      <c r="H687" s="1">
        <v>0.32677165400000002</v>
      </c>
      <c r="I687" s="1">
        <v>0.255905512</v>
      </c>
      <c r="J687" s="1">
        <v>0.177165354</v>
      </c>
      <c r="K687" s="1">
        <v>9.8425197000000006E-2</v>
      </c>
      <c r="L687" s="1">
        <v>0.14173228299999999</v>
      </c>
      <c r="M687" s="1" t="s">
        <v>16</v>
      </c>
      <c r="N687" s="1" t="s">
        <v>17</v>
      </c>
    </row>
    <row r="688" spans="1:14" ht="15.75" customHeight="1">
      <c r="A688" s="1">
        <v>0.83123181400000001</v>
      </c>
      <c r="B688" s="1">
        <v>1097</v>
      </c>
      <c r="C688" s="1">
        <v>22</v>
      </c>
      <c r="D688" s="1">
        <v>3088</v>
      </c>
      <c r="E688" s="1">
        <v>8179</v>
      </c>
      <c r="F688" s="1">
        <v>22043</v>
      </c>
      <c r="G688" s="1" t="s">
        <v>54</v>
      </c>
      <c r="H688" s="1">
        <v>0.25377643500000002</v>
      </c>
      <c r="I688" s="1">
        <v>0.208459215</v>
      </c>
      <c r="J688" s="1">
        <v>0.14803625400000001</v>
      </c>
      <c r="K688" s="1">
        <v>0.18429002999999999</v>
      </c>
      <c r="L688" s="1">
        <v>0.205438066</v>
      </c>
      <c r="M688" s="1" t="s">
        <v>16</v>
      </c>
      <c r="N688" s="1" t="s">
        <v>17</v>
      </c>
    </row>
    <row r="689" spans="1:14" ht="15.75" customHeight="1">
      <c r="A689" s="1">
        <v>0.71240709000000002</v>
      </c>
      <c r="B689" s="1">
        <v>1135</v>
      </c>
      <c r="C689" s="1">
        <v>23</v>
      </c>
      <c r="D689" s="1">
        <v>2446</v>
      </c>
      <c r="E689" s="1">
        <v>8179</v>
      </c>
      <c r="F689" s="1">
        <v>22043</v>
      </c>
      <c r="G689" s="1" t="s">
        <v>54</v>
      </c>
      <c r="H689" s="1">
        <v>0.32571428600000002</v>
      </c>
      <c r="I689" s="1">
        <v>0.2</v>
      </c>
      <c r="J689" s="1">
        <v>0.194285714</v>
      </c>
      <c r="K689" s="1">
        <v>0.13142857099999999</v>
      </c>
      <c r="L689" s="1">
        <v>0.148571429</v>
      </c>
      <c r="M689" s="1" t="s">
        <v>16</v>
      </c>
      <c r="N689" s="1" t="s">
        <v>17</v>
      </c>
    </row>
    <row r="690" spans="1:14" ht="15.75" customHeight="1">
      <c r="A690" s="1">
        <v>0.89132420099999998</v>
      </c>
      <c r="B690" s="1">
        <v>1199</v>
      </c>
      <c r="C690" s="1">
        <v>24</v>
      </c>
      <c r="D690" s="1">
        <v>25033</v>
      </c>
      <c r="E690" s="1">
        <v>10497</v>
      </c>
      <c r="F690" s="1">
        <v>27683</v>
      </c>
      <c r="G690" s="1" t="s">
        <v>54</v>
      </c>
      <c r="H690" s="1">
        <v>0.13132530100000001</v>
      </c>
      <c r="I690" s="1">
        <v>9.9397589999999994E-2</v>
      </c>
      <c r="J690" s="1">
        <v>0.15903614499999999</v>
      </c>
      <c r="K690" s="1">
        <v>0.19216867500000001</v>
      </c>
      <c r="L690" s="1">
        <v>0.41807228899999999</v>
      </c>
      <c r="M690" s="1" t="s">
        <v>16</v>
      </c>
      <c r="N690" s="1" t="s">
        <v>17</v>
      </c>
    </row>
    <row r="691" spans="1:14" ht="15.75" customHeight="1">
      <c r="A691" s="1">
        <v>0.94402605299999998</v>
      </c>
      <c r="B691" s="1">
        <v>1120</v>
      </c>
      <c r="C691" s="1">
        <v>22</v>
      </c>
      <c r="D691" s="1">
        <v>7599</v>
      </c>
      <c r="E691" s="1">
        <v>9728</v>
      </c>
      <c r="F691" s="1">
        <v>21272</v>
      </c>
      <c r="G691" s="1" t="s">
        <v>54</v>
      </c>
      <c r="H691" s="1">
        <v>0.112113402</v>
      </c>
      <c r="I691" s="1">
        <v>0.112113402</v>
      </c>
      <c r="J691" s="1">
        <v>0.16752577299999999</v>
      </c>
      <c r="K691" s="1">
        <v>0.225515464</v>
      </c>
      <c r="L691" s="1">
        <v>0.38273195900000001</v>
      </c>
      <c r="M691" s="1" t="s">
        <v>16</v>
      </c>
      <c r="N691" s="1" t="s">
        <v>17</v>
      </c>
    </row>
    <row r="692" spans="1:14" ht="15.75" customHeight="1">
      <c r="A692" s="1">
        <v>0.97738693499999996</v>
      </c>
      <c r="B692" s="1">
        <v>1090</v>
      </c>
      <c r="C692" s="1">
        <v>21</v>
      </c>
      <c r="D692" s="1">
        <v>2328</v>
      </c>
      <c r="E692" s="1">
        <v>7356</v>
      </c>
      <c r="F692" s="1">
        <v>15669</v>
      </c>
      <c r="G692" s="1" t="s">
        <v>54</v>
      </c>
      <c r="H692" s="1">
        <v>0.164864865</v>
      </c>
      <c r="I692" s="1">
        <v>0.1</v>
      </c>
      <c r="J692" s="1">
        <v>0.18918918900000001</v>
      </c>
      <c r="K692" s="1">
        <v>0.21081081099999999</v>
      </c>
      <c r="L692" s="1">
        <v>0.33513513499999997</v>
      </c>
      <c r="M692" s="1" t="s">
        <v>16</v>
      </c>
      <c r="N692" s="1" t="s">
        <v>17</v>
      </c>
    </row>
    <row r="693" spans="1:14" ht="15.75" customHeight="1">
      <c r="A693" s="1">
        <v>0.91766329300000005</v>
      </c>
      <c r="B693" s="1">
        <v>1118</v>
      </c>
      <c r="C693" s="1">
        <v>22</v>
      </c>
      <c r="D693" s="1">
        <v>9792</v>
      </c>
      <c r="E693" s="1">
        <v>5633</v>
      </c>
      <c r="F693" s="1">
        <v>16811</v>
      </c>
      <c r="G693" s="1" t="s">
        <v>54</v>
      </c>
      <c r="H693" s="1">
        <v>0.23631840800000001</v>
      </c>
      <c r="I693" s="1">
        <v>0.13184079600000001</v>
      </c>
      <c r="J693" s="1">
        <v>0.17910447800000001</v>
      </c>
      <c r="K693" s="1">
        <v>0.2039801</v>
      </c>
      <c r="L693" s="1">
        <v>0.248756219</v>
      </c>
      <c r="M693" s="1" t="s">
        <v>16</v>
      </c>
      <c r="N693" s="1" t="s">
        <v>17</v>
      </c>
    </row>
    <row r="694" spans="1:14" ht="15.75" customHeight="1">
      <c r="A694" s="1">
        <v>0.88203474500000001</v>
      </c>
      <c r="B694" s="1">
        <v>1186</v>
      </c>
      <c r="C694" s="1">
        <v>24</v>
      </c>
      <c r="D694" s="1">
        <v>19857</v>
      </c>
      <c r="E694" s="1">
        <v>11700</v>
      </c>
      <c r="F694" s="1">
        <v>29412</v>
      </c>
      <c r="G694" s="1" t="s">
        <v>54</v>
      </c>
      <c r="H694" s="1">
        <v>0.17790956299999999</v>
      </c>
      <c r="I694" s="1">
        <v>0.12305411400000001</v>
      </c>
      <c r="J694" s="1">
        <v>0.178650852</v>
      </c>
      <c r="K694" s="1">
        <v>0.157153447</v>
      </c>
      <c r="L694" s="1">
        <v>0.36323202399999999</v>
      </c>
      <c r="M694" s="1" t="s">
        <v>16</v>
      </c>
      <c r="N694" s="1" t="s">
        <v>17</v>
      </c>
    </row>
    <row r="695" spans="1:14" ht="15.75" customHeight="1">
      <c r="A695" s="1">
        <v>0.79355510900000004</v>
      </c>
      <c r="B695" s="1">
        <v>1149</v>
      </c>
      <c r="C695" s="1">
        <v>23</v>
      </c>
      <c r="D695" s="1">
        <v>14835</v>
      </c>
      <c r="E695" s="1">
        <v>10942</v>
      </c>
      <c r="F695" s="1">
        <v>27816</v>
      </c>
      <c r="G695" s="1" t="s">
        <v>54</v>
      </c>
      <c r="H695" s="1">
        <v>0.12295869399999999</v>
      </c>
      <c r="I695" s="1">
        <v>0.106628242</v>
      </c>
      <c r="J695" s="1">
        <v>0.16426513000000001</v>
      </c>
      <c r="K695" s="1">
        <v>0.167146974</v>
      </c>
      <c r="L695" s="1">
        <v>0.43900096100000002</v>
      </c>
      <c r="M695" s="1" t="s">
        <v>16</v>
      </c>
      <c r="N695" s="1" t="s">
        <v>17</v>
      </c>
    </row>
    <row r="696" spans="1:14" ht="15.75" customHeight="1">
      <c r="A696" s="1">
        <v>0.88165266099999995</v>
      </c>
      <c r="B696" s="1">
        <v>1090</v>
      </c>
      <c r="C696" s="1">
        <v>21</v>
      </c>
      <c r="D696" s="1">
        <v>4162</v>
      </c>
      <c r="E696" s="1">
        <v>8008</v>
      </c>
      <c r="F696" s="1">
        <v>19692</v>
      </c>
      <c r="G696" s="1" t="s">
        <v>54</v>
      </c>
      <c r="H696" s="1">
        <v>0.20426829299999999</v>
      </c>
      <c r="I696" s="1">
        <v>0.15243902400000001</v>
      </c>
      <c r="J696" s="1">
        <v>0.14939024400000001</v>
      </c>
      <c r="K696" s="1">
        <v>0.240853659</v>
      </c>
      <c r="L696" s="1">
        <v>0.25304877999999997</v>
      </c>
      <c r="M696" s="1" t="s">
        <v>16</v>
      </c>
      <c r="N696" s="1" t="s">
        <v>17</v>
      </c>
    </row>
    <row r="697" spans="1:14" ht="15.75" customHeight="1">
      <c r="A697" s="1">
        <v>0.94940372799999995</v>
      </c>
      <c r="B697" s="1">
        <v>1118</v>
      </c>
      <c r="C697" s="1">
        <v>22</v>
      </c>
      <c r="D697" s="1">
        <v>10493</v>
      </c>
      <c r="E697" s="1">
        <v>9322</v>
      </c>
      <c r="F697" s="1">
        <v>19240</v>
      </c>
      <c r="G697" s="1" t="s">
        <v>54</v>
      </c>
      <c r="H697" s="1">
        <v>0.323428571</v>
      </c>
      <c r="I697" s="1">
        <v>0.20228571400000001</v>
      </c>
      <c r="J697" s="1">
        <v>0.16342857099999999</v>
      </c>
      <c r="K697" s="1">
        <v>0.140571429</v>
      </c>
      <c r="L697" s="1">
        <v>0.170285714</v>
      </c>
      <c r="M697" s="1" t="s">
        <v>16</v>
      </c>
      <c r="N697" s="1" t="s">
        <v>17</v>
      </c>
    </row>
    <row r="698" spans="1:14" ht="15.75" customHeight="1">
      <c r="A698" s="1">
        <v>0.78093900000000005</v>
      </c>
      <c r="B698" s="1">
        <v>1089</v>
      </c>
      <c r="C698" s="1">
        <v>21</v>
      </c>
      <c r="D698" s="1">
        <v>11674</v>
      </c>
      <c r="E698" s="1">
        <v>10130</v>
      </c>
      <c r="F698" s="1">
        <v>20820</v>
      </c>
      <c r="G698" s="1" t="s">
        <v>54</v>
      </c>
      <c r="H698" s="1">
        <v>0.34613077399999997</v>
      </c>
      <c r="I698" s="1">
        <v>0.16316736700000001</v>
      </c>
      <c r="J698" s="1">
        <v>0.169766047</v>
      </c>
      <c r="K698" s="1">
        <v>0.13437312500000001</v>
      </c>
      <c r="L698" s="1">
        <v>0.186562687</v>
      </c>
      <c r="M698" s="1" t="s">
        <v>16</v>
      </c>
      <c r="N698" s="1" t="s">
        <v>17</v>
      </c>
    </row>
    <row r="699" spans="1:14" ht="15.75" customHeight="1">
      <c r="A699" s="1">
        <v>0.92553723099999996</v>
      </c>
      <c r="B699" s="1">
        <v>910</v>
      </c>
      <c r="C699" s="1">
        <v>16</v>
      </c>
      <c r="D699" s="1">
        <v>1317</v>
      </c>
      <c r="E699" s="1">
        <v>9214</v>
      </c>
      <c r="F699" s="1">
        <v>13260</v>
      </c>
      <c r="G699" s="1" t="s">
        <v>54</v>
      </c>
      <c r="H699" s="1">
        <v>0.358208955</v>
      </c>
      <c r="I699" s="1">
        <v>0.20895522399999999</v>
      </c>
      <c r="J699" s="1">
        <v>0.253731343</v>
      </c>
      <c r="K699" s="1">
        <v>0.119402985</v>
      </c>
      <c r="L699" s="1">
        <v>5.9701493000000001E-2</v>
      </c>
      <c r="M699" s="1" t="s">
        <v>16</v>
      </c>
      <c r="N699" s="1" t="s">
        <v>17</v>
      </c>
    </row>
    <row r="700" spans="1:14" ht="15.75" customHeight="1">
      <c r="A700" s="1">
        <v>0.92384797900000004</v>
      </c>
      <c r="B700" s="1">
        <v>1213</v>
      </c>
      <c r="C700" s="1">
        <v>25</v>
      </c>
      <c r="D700" s="1">
        <v>23189</v>
      </c>
      <c r="E700" s="1">
        <v>13212</v>
      </c>
      <c r="F700" s="1">
        <v>33406</v>
      </c>
      <c r="G700" s="1" t="s">
        <v>54</v>
      </c>
      <c r="H700" s="1">
        <v>0.22312859900000001</v>
      </c>
      <c r="I700" s="1">
        <v>0.14395393500000001</v>
      </c>
      <c r="J700" s="1">
        <v>0.17178502900000001</v>
      </c>
      <c r="K700" s="1">
        <v>0.145873321</v>
      </c>
      <c r="L700" s="1">
        <v>0.31525911699999998</v>
      </c>
      <c r="M700" s="1" t="s">
        <v>16</v>
      </c>
      <c r="N700" s="1" t="s">
        <v>17</v>
      </c>
    </row>
    <row r="701" spans="1:14" ht="15.75" customHeight="1">
      <c r="A701" s="1">
        <v>0.80541124100000006</v>
      </c>
      <c r="B701" s="1">
        <v>1147</v>
      </c>
      <c r="C701" s="1">
        <v>23</v>
      </c>
      <c r="D701" s="1">
        <v>14187</v>
      </c>
      <c r="E701" s="1">
        <v>12828</v>
      </c>
      <c r="F701" s="1">
        <v>29174</v>
      </c>
      <c r="G701" s="1" t="s">
        <v>54</v>
      </c>
      <c r="H701" s="1">
        <v>0.31481481500000003</v>
      </c>
      <c r="I701" s="1">
        <v>0.19212963</v>
      </c>
      <c r="J701" s="1">
        <v>0.18595679000000001</v>
      </c>
      <c r="K701" s="1">
        <v>0.12345679</v>
      </c>
      <c r="L701" s="1">
        <v>0.18364197500000001</v>
      </c>
      <c r="M701" s="1" t="s">
        <v>16</v>
      </c>
      <c r="N701" s="1" t="s">
        <v>17</v>
      </c>
    </row>
    <row r="702" spans="1:14" ht="15.75" customHeight="1">
      <c r="A702" s="1">
        <v>0.86165972099999999</v>
      </c>
      <c r="B702" s="1">
        <v>1110</v>
      </c>
      <c r="C702" s="1">
        <v>22</v>
      </c>
      <c r="D702" s="1">
        <v>6646</v>
      </c>
      <c r="E702" s="1">
        <v>9708</v>
      </c>
      <c r="F702" s="1">
        <v>19452</v>
      </c>
      <c r="G702" s="1" t="s">
        <v>54</v>
      </c>
      <c r="H702" s="1">
        <v>0.308724832</v>
      </c>
      <c r="I702" s="1">
        <v>0.166107383</v>
      </c>
      <c r="J702" s="1">
        <v>0.191275168</v>
      </c>
      <c r="K702" s="1">
        <v>0.18791946300000001</v>
      </c>
      <c r="L702" s="1">
        <v>0.14597315399999999</v>
      </c>
      <c r="M702" s="1" t="s">
        <v>16</v>
      </c>
      <c r="N702" s="1" t="s">
        <v>17</v>
      </c>
    </row>
    <row r="703" spans="1:14" ht="15.75" customHeight="1">
      <c r="A703" s="1">
        <v>0.96026180500000002</v>
      </c>
      <c r="B703" s="1">
        <v>1114</v>
      </c>
      <c r="C703" s="1">
        <v>22</v>
      </c>
      <c r="D703" s="1">
        <v>8065</v>
      </c>
      <c r="E703" s="1">
        <v>10896</v>
      </c>
      <c r="F703" s="1">
        <v>21480</v>
      </c>
      <c r="G703" s="1" t="s">
        <v>54</v>
      </c>
      <c r="H703" s="1">
        <v>0.233695652</v>
      </c>
      <c r="I703" s="1">
        <v>0.17210144899999999</v>
      </c>
      <c r="J703" s="1">
        <v>0.19746376800000001</v>
      </c>
      <c r="K703" s="1">
        <v>0.17210144899999999</v>
      </c>
      <c r="L703" s="1">
        <v>0.22463768100000001</v>
      </c>
      <c r="M703" s="1" t="s">
        <v>16</v>
      </c>
      <c r="N703" s="1" t="s">
        <v>17</v>
      </c>
    </row>
    <row r="704" spans="1:14" ht="15.75" customHeight="1">
      <c r="A704" s="1">
        <v>0.97046632099999997</v>
      </c>
      <c r="B704" s="1">
        <v>977</v>
      </c>
      <c r="C704" s="1">
        <v>18</v>
      </c>
      <c r="D704" s="1">
        <v>12267</v>
      </c>
      <c r="E704" s="1">
        <v>11436</v>
      </c>
      <c r="F704" s="1">
        <v>27000</v>
      </c>
      <c r="G704" s="1" t="s">
        <v>54</v>
      </c>
      <c r="H704" s="1">
        <v>0.88024408799999998</v>
      </c>
      <c r="I704" s="1">
        <v>7.0938214999999999E-2</v>
      </c>
      <c r="J704" s="1">
        <v>2.8985507000000001E-2</v>
      </c>
      <c r="K704" s="1">
        <v>1.4492754E-2</v>
      </c>
      <c r="L704" s="1">
        <v>5.3394360000000004E-3</v>
      </c>
      <c r="M704" s="1" t="s">
        <v>16</v>
      </c>
      <c r="N704" s="1" t="s">
        <v>17</v>
      </c>
    </row>
    <row r="705" spans="1:14" ht="15.75" customHeight="1">
      <c r="A705" s="1">
        <v>0.23677664000000001</v>
      </c>
      <c r="B705" s="1">
        <v>955</v>
      </c>
      <c r="C705" s="1">
        <v>17</v>
      </c>
      <c r="D705" s="1">
        <v>4144</v>
      </c>
      <c r="E705" s="1">
        <v>7683</v>
      </c>
      <c r="F705" s="1">
        <v>16706</v>
      </c>
      <c r="G705" s="1" t="s">
        <v>54</v>
      </c>
      <c r="H705" s="1">
        <v>0.55921052599999999</v>
      </c>
      <c r="I705" s="1">
        <v>0.15526315800000001</v>
      </c>
      <c r="J705" s="1">
        <v>0.12894736800000001</v>
      </c>
      <c r="K705" s="1">
        <v>8.1578946999999999E-2</v>
      </c>
      <c r="L705" s="1">
        <v>7.4999999999999997E-2</v>
      </c>
      <c r="M705" s="1" t="s">
        <v>16</v>
      </c>
      <c r="N705" s="1" t="s">
        <v>17</v>
      </c>
    </row>
    <row r="706" spans="1:14" ht="15.75" customHeight="1">
      <c r="A706" s="1">
        <v>0.92634560899999996</v>
      </c>
      <c r="B706" s="1">
        <v>1048</v>
      </c>
      <c r="C706" s="1">
        <v>20</v>
      </c>
      <c r="D706" s="1">
        <v>4414</v>
      </c>
      <c r="E706" s="1">
        <v>7050</v>
      </c>
      <c r="F706" s="1">
        <v>14650</v>
      </c>
      <c r="G706" s="1" t="s">
        <v>54</v>
      </c>
      <c r="H706" s="1">
        <v>0.43333333299999999</v>
      </c>
      <c r="I706" s="1">
        <v>0.15238095199999999</v>
      </c>
      <c r="J706" s="1">
        <v>0.171428571</v>
      </c>
      <c r="K706" s="1">
        <v>0.11904761899999999</v>
      </c>
      <c r="L706" s="1">
        <v>0.123809524</v>
      </c>
      <c r="M706" s="1" t="s">
        <v>16</v>
      </c>
      <c r="N706" s="1" t="s">
        <v>17</v>
      </c>
    </row>
    <row r="707" spans="1:14" ht="15.75" customHeight="1">
      <c r="A707" s="1">
        <v>0.73995488499999995</v>
      </c>
      <c r="B707" s="1">
        <v>1248</v>
      </c>
      <c r="C707" s="1">
        <v>26</v>
      </c>
      <c r="D707" s="1">
        <v>29207</v>
      </c>
      <c r="E707" s="1">
        <v>11954</v>
      </c>
      <c r="F707" s="1">
        <v>28631</v>
      </c>
      <c r="G707" s="1" t="s">
        <v>54</v>
      </c>
      <c r="H707" s="1">
        <v>0.288721805</v>
      </c>
      <c r="I707" s="1">
        <v>0.18759398499999999</v>
      </c>
      <c r="J707" s="1">
        <v>0.17218045100000001</v>
      </c>
      <c r="K707" s="1">
        <v>0.103383459</v>
      </c>
      <c r="L707" s="1">
        <v>0.24812030099999999</v>
      </c>
      <c r="M707" s="1" t="s">
        <v>16</v>
      </c>
      <c r="N707" s="1" t="s">
        <v>17</v>
      </c>
    </row>
    <row r="708" spans="1:14" ht="15.75" customHeight="1">
      <c r="A708" s="1">
        <v>0.82718651200000004</v>
      </c>
      <c r="B708" s="1">
        <v>1119</v>
      </c>
      <c r="C708" s="1">
        <v>22</v>
      </c>
      <c r="D708" s="1">
        <v>2150</v>
      </c>
      <c r="E708" s="1">
        <v>7327</v>
      </c>
      <c r="F708" s="1">
        <v>20481</v>
      </c>
      <c r="G708" s="1" t="s">
        <v>54</v>
      </c>
      <c r="H708" s="1">
        <v>0.48809523799999999</v>
      </c>
      <c r="I708" s="1">
        <v>0.226190476</v>
      </c>
      <c r="J708" s="1">
        <v>0.13690476200000001</v>
      </c>
      <c r="K708" s="1">
        <v>6.5476190000000004E-2</v>
      </c>
      <c r="L708" s="1">
        <v>8.3333332999999996E-2</v>
      </c>
      <c r="M708" s="1" t="s">
        <v>16</v>
      </c>
      <c r="N708" s="1" t="s">
        <v>17</v>
      </c>
    </row>
    <row r="709" spans="1:14" ht="15.75" customHeight="1">
      <c r="A709" s="1">
        <v>0.72568282399999995</v>
      </c>
      <c r="B709" s="1">
        <v>1190</v>
      </c>
      <c r="C709" s="1">
        <v>24</v>
      </c>
      <c r="D709" s="1">
        <v>7819</v>
      </c>
      <c r="E709" s="1">
        <v>10125</v>
      </c>
      <c r="F709" s="1">
        <v>16866</v>
      </c>
      <c r="G709" s="1" t="s">
        <v>54</v>
      </c>
      <c r="H709" s="1">
        <v>0.23471882599999999</v>
      </c>
      <c r="I709" s="1">
        <v>0.163814181</v>
      </c>
      <c r="J709" s="1">
        <v>0.16992665000000001</v>
      </c>
      <c r="K709" s="1">
        <v>0.14669926699999999</v>
      </c>
      <c r="L709" s="1">
        <v>0.28484107600000003</v>
      </c>
      <c r="M709" s="1" t="s">
        <v>16</v>
      </c>
      <c r="N709" s="1" t="s">
        <v>17</v>
      </c>
    </row>
    <row r="710" spans="1:14" ht="15.75" customHeight="1">
      <c r="A710" s="1">
        <v>0.67547055300000003</v>
      </c>
      <c r="B710" s="1">
        <v>1080</v>
      </c>
      <c r="C710" s="1">
        <v>21</v>
      </c>
      <c r="D710" s="1">
        <v>4846</v>
      </c>
      <c r="E710" s="1">
        <v>8460</v>
      </c>
      <c r="F710" s="1">
        <v>9960</v>
      </c>
      <c r="G710" s="1" t="s">
        <v>54</v>
      </c>
      <c r="H710" s="1">
        <v>0.36911487799999998</v>
      </c>
      <c r="I710" s="1">
        <v>0.20715630900000001</v>
      </c>
      <c r="J710" s="1">
        <v>0.13370998100000001</v>
      </c>
      <c r="K710" s="1">
        <v>0.11299434999999999</v>
      </c>
      <c r="L710" s="1">
        <v>0.17702448200000001</v>
      </c>
      <c r="M710" s="1" t="s">
        <v>16</v>
      </c>
      <c r="N710" s="1" t="s">
        <v>17</v>
      </c>
    </row>
    <row r="711" spans="1:14" ht="15.75" customHeight="1">
      <c r="A711" s="1">
        <v>0.667723701</v>
      </c>
      <c r="B711" s="1">
        <v>1056</v>
      </c>
      <c r="C711" s="1">
        <v>20</v>
      </c>
      <c r="D711" s="1">
        <v>4479</v>
      </c>
      <c r="E711" s="1">
        <v>9172</v>
      </c>
      <c r="F711" s="1">
        <v>14008</v>
      </c>
      <c r="G711" s="1" t="s">
        <v>54</v>
      </c>
      <c r="H711" s="1">
        <v>0.50369003700000003</v>
      </c>
      <c r="I711" s="1">
        <v>0.21402214</v>
      </c>
      <c r="J711" s="1">
        <v>0.14760147600000001</v>
      </c>
      <c r="K711" s="1">
        <v>6.6420664000000004E-2</v>
      </c>
      <c r="L711" s="1">
        <v>6.8265682999999994E-2</v>
      </c>
      <c r="M711" s="1" t="s">
        <v>16</v>
      </c>
      <c r="N711" s="1" t="s">
        <v>17</v>
      </c>
    </row>
    <row r="712" spans="1:14" ht="15.75" customHeight="1">
      <c r="A712" s="1">
        <v>0.96024096400000003</v>
      </c>
      <c r="B712" s="1">
        <v>1088</v>
      </c>
      <c r="C712" s="1">
        <v>21</v>
      </c>
      <c r="D712" s="1">
        <v>4772</v>
      </c>
      <c r="E712" s="1">
        <v>8173</v>
      </c>
      <c r="F712" s="1">
        <v>9266</v>
      </c>
      <c r="G712" s="1" t="s">
        <v>54</v>
      </c>
      <c r="H712" s="1">
        <v>0.34710743799999999</v>
      </c>
      <c r="I712" s="1">
        <v>0.14214876000000001</v>
      </c>
      <c r="J712" s="1">
        <v>0.16198347099999999</v>
      </c>
      <c r="K712" s="1">
        <v>0.123966942</v>
      </c>
      <c r="L712" s="1">
        <v>0.22479338800000001</v>
      </c>
      <c r="M712" s="1" t="s">
        <v>16</v>
      </c>
      <c r="N712" s="1" t="s">
        <v>17</v>
      </c>
    </row>
    <row r="713" spans="1:14" ht="15.75" customHeight="1">
      <c r="A713" s="1">
        <v>0.74559245600000001</v>
      </c>
      <c r="B713" s="1">
        <v>1102</v>
      </c>
      <c r="C713" s="1">
        <v>21</v>
      </c>
      <c r="D713" s="1">
        <v>4891</v>
      </c>
      <c r="E713" s="1">
        <v>9190</v>
      </c>
      <c r="F713" s="1">
        <v>21290</v>
      </c>
      <c r="G713" s="1" t="s">
        <v>54</v>
      </c>
      <c r="H713" s="1">
        <v>0.37777777800000001</v>
      </c>
      <c r="I713" s="1">
        <v>0.17222222200000001</v>
      </c>
      <c r="J713" s="1">
        <v>0.18333333299999999</v>
      </c>
      <c r="K713" s="1">
        <v>0.107407407</v>
      </c>
      <c r="L713" s="1">
        <v>0.15925925899999999</v>
      </c>
      <c r="M713" s="1" t="s">
        <v>16</v>
      </c>
      <c r="N713" s="1" t="s">
        <v>17</v>
      </c>
    </row>
    <row r="714" spans="1:14" ht="15.75" customHeight="1">
      <c r="A714" s="1">
        <v>0.93738259199999996</v>
      </c>
      <c r="B714" s="1">
        <v>1090</v>
      </c>
      <c r="C714" s="1">
        <v>21</v>
      </c>
      <c r="D714" s="1">
        <v>5840</v>
      </c>
      <c r="E714" s="1">
        <v>8864</v>
      </c>
      <c r="F714" s="1">
        <v>19652</v>
      </c>
      <c r="G714" s="1" t="s">
        <v>54</v>
      </c>
      <c r="H714" s="1">
        <v>0.41702741700000001</v>
      </c>
      <c r="I714" s="1">
        <v>0.19480519499999999</v>
      </c>
      <c r="J714" s="1">
        <v>0.15007214999999999</v>
      </c>
      <c r="K714" s="1">
        <v>0.113997114</v>
      </c>
      <c r="L714" s="1">
        <v>0.124098124</v>
      </c>
      <c r="M714" s="1" t="s">
        <v>16</v>
      </c>
      <c r="N714" s="1" t="s">
        <v>17</v>
      </c>
    </row>
    <row r="715" spans="1:14" ht="15.75" customHeight="1">
      <c r="A715" s="1">
        <v>0.942752963</v>
      </c>
      <c r="B715" s="1">
        <v>1090</v>
      </c>
      <c r="C715" s="1">
        <v>21</v>
      </c>
      <c r="D715" s="1">
        <v>9514</v>
      </c>
      <c r="E715" s="1">
        <v>8373</v>
      </c>
      <c r="F715" s="1">
        <v>20851</v>
      </c>
      <c r="G715" s="1" t="s">
        <v>54</v>
      </c>
      <c r="H715" s="1">
        <v>0.30359212099999999</v>
      </c>
      <c r="I715" s="1">
        <v>0.20046349899999999</v>
      </c>
      <c r="J715" s="1">
        <v>0.15411355700000001</v>
      </c>
      <c r="K715" s="1">
        <v>0.130938586</v>
      </c>
      <c r="L715" s="1">
        <v>0.21089223600000001</v>
      </c>
      <c r="M715" s="1" t="s">
        <v>16</v>
      </c>
      <c r="N715" s="1" t="s">
        <v>17</v>
      </c>
    </row>
    <row r="716" spans="1:14" ht="15.75" customHeight="1">
      <c r="A716" s="1">
        <v>0.49873169099999998</v>
      </c>
      <c r="B716" s="1">
        <v>938</v>
      </c>
      <c r="C716" s="1">
        <v>17</v>
      </c>
      <c r="D716" s="1">
        <v>5323</v>
      </c>
      <c r="E716" s="1">
        <v>9940</v>
      </c>
      <c r="F716" s="1">
        <v>17198</v>
      </c>
      <c r="G716" s="1" t="s">
        <v>54</v>
      </c>
      <c r="H716" s="1">
        <v>0.50443081099999998</v>
      </c>
      <c r="I716" s="1">
        <v>0.237900477</v>
      </c>
      <c r="J716" s="1">
        <v>0.136332652</v>
      </c>
      <c r="K716" s="1">
        <v>6.9529651999999997E-2</v>
      </c>
      <c r="L716" s="1">
        <v>5.1806407999999998E-2</v>
      </c>
      <c r="M716" s="1" t="s">
        <v>16</v>
      </c>
      <c r="N716" s="1" t="s">
        <v>17</v>
      </c>
    </row>
    <row r="717" spans="1:14" ht="15.75" customHeight="1">
      <c r="A717" s="1">
        <v>0.60205479500000003</v>
      </c>
      <c r="B717" s="1">
        <v>910</v>
      </c>
      <c r="C717" s="1">
        <v>16</v>
      </c>
      <c r="D717" s="1">
        <v>1095</v>
      </c>
      <c r="E717" s="1">
        <v>7490</v>
      </c>
      <c r="F717" s="1">
        <v>16390</v>
      </c>
      <c r="G717" s="1" t="s">
        <v>54</v>
      </c>
      <c r="H717" s="1">
        <v>0.99082568800000004</v>
      </c>
      <c r="I717" s="1">
        <v>0</v>
      </c>
      <c r="J717" s="1">
        <v>9.1743120000000004E-3</v>
      </c>
      <c r="K717" s="1">
        <v>0</v>
      </c>
      <c r="L717" s="1">
        <v>0</v>
      </c>
      <c r="M717" s="1" t="s">
        <v>16</v>
      </c>
      <c r="N717" s="1" t="s">
        <v>17</v>
      </c>
    </row>
    <row r="718" spans="1:14" ht="15.75" customHeight="1">
      <c r="A718" s="1">
        <v>0.88828541999999999</v>
      </c>
      <c r="B718" s="1">
        <v>1219</v>
      </c>
      <c r="C718" s="1">
        <v>25</v>
      </c>
      <c r="D718" s="1">
        <v>12269</v>
      </c>
      <c r="E718" s="1">
        <v>10418</v>
      </c>
      <c r="F718" s="1">
        <v>24146</v>
      </c>
      <c r="G718" s="1" t="s">
        <v>54</v>
      </c>
      <c r="H718" s="1">
        <v>0.37784521999999998</v>
      </c>
      <c r="I718" s="1">
        <v>0.18917551799999999</v>
      </c>
      <c r="J718" s="1">
        <v>0.14112291399999999</v>
      </c>
      <c r="K718" s="1">
        <v>0.10925644900000001</v>
      </c>
      <c r="L718" s="1">
        <v>0.18259989900000001</v>
      </c>
      <c r="M718" s="1" t="s">
        <v>16</v>
      </c>
      <c r="N718" s="1" t="s">
        <v>17</v>
      </c>
    </row>
    <row r="719" spans="1:14" ht="15.75" customHeight="1">
      <c r="A719" s="1">
        <v>0.61397379900000004</v>
      </c>
      <c r="B719" s="1">
        <v>1185</v>
      </c>
      <c r="C719" s="1">
        <v>26</v>
      </c>
      <c r="D719" s="1">
        <v>888</v>
      </c>
      <c r="E719" s="1">
        <v>14746</v>
      </c>
      <c r="F719" s="1">
        <v>30226</v>
      </c>
      <c r="G719" s="1" t="s">
        <v>54</v>
      </c>
      <c r="H719" s="1">
        <v>0.11904761899999999</v>
      </c>
      <c r="I719" s="1">
        <v>9.5238094999999995E-2</v>
      </c>
      <c r="J719" s="1">
        <v>0.178571429</v>
      </c>
      <c r="K719" s="1">
        <v>0.19047618999999999</v>
      </c>
      <c r="L719" s="1">
        <v>0.41666666699999999</v>
      </c>
      <c r="M719" s="1" t="s">
        <v>16</v>
      </c>
      <c r="N719" s="1" t="s">
        <v>17</v>
      </c>
    </row>
    <row r="720" spans="1:14" ht="15.75" customHeight="1">
      <c r="A720" s="1">
        <v>0.79306199600000005</v>
      </c>
      <c r="B720" s="1">
        <v>1130</v>
      </c>
      <c r="C720" s="1">
        <v>25</v>
      </c>
      <c r="D720" s="1">
        <v>4245</v>
      </c>
      <c r="E720" s="1">
        <v>10920</v>
      </c>
      <c r="F720" s="1">
        <v>27104</v>
      </c>
      <c r="G720" s="1" t="s">
        <v>54</v>
      </c>
      <c r="H720" s="1">
        <v>0.251351351</v>
      </c>
      <c r="I720" s="1">
        <v>0.14324324299999999</v>
      </c>
      <c r="J720" s="1">
        <v>0.2</v>
      </c>
      <c r="K720" s="1">
        <v>0.181081081</v>
      </c>
      <c r="L720" s="1">
        <v>0.22432432399999999</v>
      </c>
      <c r="M720" s="1" t="s">
        <v>16</v>
      </c>
      <c r="N720" s="1" t="s">
        <v>17</v>
      </c>
    </row>
    <row r="721" spans="1:14" ht="15.75" customHeight="1">
      <c r="A721" s="1">
        <v>0.74235741399999999</v>
      </c>
      <c r="B721" s="1">
        <v>1299</v>
      </c>
      <c r="C721" s="1">
        <v>27</v>
      </c>
      <c r="D721" s="1">
        <v>10434</v>
      </c>
      <c r="E721" s="1">
        <v>12952</v>
      </c>
      <c r="F721" s="1">
        <v>30308</v>
      </c>
      <c r="G721" s="1" t="s">
        <v>54</v>
      </c>
      <c r="H721" s="1">
        <v>0.22695652199999999</v>
      </c>
      <c r="I721" s="1">
        <v>0.15217391299999999</v>
      </c>
      <c r="J721" s="1">
        <v>0.17478260900000001</v>
      </c>
      <c r="K721" s="1">
        <v>0.127826087</v>
      </c>
      <c r="L721" s="1">
        <v>0.31826086999999997</v>
      </c>
      <c r="M721" s="1" t="s">
        <v>16</v>
      </c>
      <c r="N721" s="1" t="s">
        <v>17</v>
      </c>
    </row>
    <row r="722" spans="1:14" ht="15.75" customHeight="1">
      <c r="A722" s="1">
        <v>0.82955894600000002</v>
      </c>
      <c r="B722" s="1">
        <v>984</v>
      </c>
      <c r="C722" s="1">
        <v>19</v>
      </c>
      <c r="D722" s="1">
        <v>8293</v>
      </c>
      <c r="E722" s="1">
        <v>8118</v>
      </c>
      <c r="F722" s="1">
        <v>18800</v>
      </c>
      <c r="G722" s="1" t="s">
        <v>54</v>
      </c>
      <c r="H722" s="1">
        <v>0.22828784099999999</v>
      </c>
      <c r="I722" s="1">
        <v>0.199751861</v>
      </c>
      <c r="J722" s="1">
        <v>0.197270471</v>
      </c>
      <c r="K722" s="1">
        <v>0.125310174</v>
      </c>
      <c r="L722" s="1">
        <v>0.24937965300000001</v>
      </c>
      <c r="M722" s="1" t="s">
        <v>16</v>
      </c>
      <c r="N722" s="1" t="s">
        <v>17</v>
      </c>
    </row>
    <row r="723" spans="1:14" ht="15.75" customHeight="1">
      <c r="A723" s="1">
        <v>0.88627935700000005</v>
      </c>
      <c r="B723" s="1">
        <v>1250</v>
      </c>
      <c r="C723" s="1">
        <v>26</v>
      </c>
      <c r="D723" s="1">
        <v>6056</v>
      </c>
      <c r="E723" s="1">
        <v>10638</v>
      </c>
      <c r="F723" s="1">
        <v>21332</v>
      </c>
      <c r="G723" s="1" t="s">
        <v>54</v>
      </c>
      <c r="H723" s="1">
        <v>0.23981191199999999</v>
      </c>
      <c r="I723" s="1">
        <v>0.14890282099999999</v>
      </c>
      <c r="J723" s="1">
        <v>0.15360501600000001</v>
      </c>
      <c r="K723" s="1">
        <v>0.10188087799999999</v>
      </c>
      <c r="L723" s="1">
        <v>0.35579937299999997</v>
      </c>
      <c r="M723" s="1" t="s">
        <v>16</v>
      </c>
      <c r="N723" s="1" t="s">
        <v>17</v>
      </c>
    </row>
    <row r="724" spans="1:14" ht="15.75" customHeight="1">
      <c r="A724" s="1">
        <v>0.75394017400000002</v>
      </c>
      <c r="B724" s="1">
        <v>1232</v>
      </c>
      <c r="C724" s="1">
        <v>28</v>
      </c>
      <c r="D724" s="1">
        <v>1566</v>
      </c>
      <c r="E724" s="1">
        <v>15236</v>
      </c>
      <c r="F724" s="1">
        <v>31312</v>
      </c>
      <c r="G724" s="1" t="s">
        <v>54</v>
      </c>
      <c r="H724" s="1">
        <v>0.14423076900000001</v>
      </c>
      <c r="I724" s="1">
        <v>0.100961538</v>
      </c>
      <c r="J724" s="1">
        <v>0.129807692</v>
      </c>
      <c r="K724" s="1">
        <v>0.15865384599999999</v>
      </c>
      <c r="L724" s="1">
        <v>0.46634615400000001</v>
      </c>
      <c r="M724" s="1" t="s">
        <v>16</v>
      </c>
      <c r="N724" s="1" t="s">
        <v>17</v>
      </c>
    </row>
    <row r="725" spans="1:14" ht="15.75" customHeight="1">
      <c r="A725" s="1">
        <v>0.82800295499999998</v>
      </c>
      <c r="B725" s="1">
        <v>1166</v>
      </c>
      <c r="C725" s="1">
        <v>25</v>
      </c>
      <c r="D725" s="1">
        <v>16400</v>
      </c>
      <c r="E725" s="1">
        <v>11306</v>
      </c>
      <c r="F725" s="1">
        <v>28326</v>
      </c>
      <c r="G725" s="1" t="s">
        <v>54</v>
      </c>
      <c r="H725" s="1">
        <v>0.22853368600000001</v>
      </c>
      <c r="I725" s="1">
        <v>0.163804491</v>
      </c>
      <c r="J725" s="1">
        <v>0.163804491</v>
      </c>
      <c r="K725" s="1">
        <v>0.1334214</v>
      </c>
      <c r="L725" s="1">
        <v>0.310435931</v>
      </c>
      <c r="M725" s="1" t="s">
        <v>16</v>
      </c>
      <c r="N725" s="1" t="s">
        <v>17</v>
      </c>
    </row>
    <row r="726" spans="1:14" ht="15.75" customHeight="1">
      <c r="A726" s="1">
        <v>0.89190128599999996</v>
      </c>
      <c r="B726" s="1">
        <v>1127</v>
      </c>
      <c r="C726" s="1">
        <v>21</v>
      </c>
      <c r="D726" s="1">
        <v>7899</v>
      </c>
      <c r="E726" s="1">
        <v>11389</v>
      </c>
      <c r="F726" s="1">
        <v>17529</v>
      </c>
      <c r="G726" s="1" t="s">
        <v>54</v>
      </c>
      <c r="H726" s="1">
        <v>0.178719867</v>
      </c>
      <c r="I726" s="1">
        <v>0.10556941</v>
      </c>
      <c r="J726" s="1">
        <v>0.137157107</v>
      </c>
      <c r="K726" s="1">
        <v>0.14713217000000001</v>
      </c>
      <c r="L726" s="1">
        <v>0.43142144599999999</v>
      </c>
      <c r="M726" s="1" t="s">
        <v>16</v>
      </c>
      <c r="N726" s="1" t="s">
        <v>17</v>
      </c>
    </row>
    <row r="727" spans="1:14" ht="15.75" customHeight="1">
      <c r="A727" s="1">
        <v>0.89937973800000004</v>
      </c>
      <c r="B727" s="1">
        <v>1114</v>
      </c>
      <c r="C727" s="1">
        <v>24</v>
      </c>
      <c r="D727" s="1">
        <v>2825</v>
      </c>
      <c r="E727" s="1">
        <v>11046</v>
      </c>
      <c r="F727" s="1">
        <v>17126</v>
      </c>
      <c r="G727" s="1" t="s">
        <v>54</v>
      </c>
      <c r="H727" s="1">
        <v>0.27777777799999998</v>
      </c>
      <c r="I727" s="1">
        <v>0.16358024700000001</v>
      </c>
      <c r="J727" s="1">
        <v>0.185185185</v>
      </c>
      <c r="K727" s="1">
        <v>0.16358024700000001</v>
      </c>
      <c r="L727" s="1">
        <v>0.209876543</v>
      </c>
      <c r="M727" s="1" t="s">
        <v>16</v>
      </c>
      <c r="N727" s="1" t="s">
        <v>17</v>
      </c>
    </row>
    <row r="728" spans="1:14" ht="15.75" customHeight="1">
      <c r="A728" s="1">
        <v>0.85239151099999999</v>
      </c>
      <c r="B728" s="1">
        <v>1253</v>
      </c>
      <c r="C728" s="1">
        <v>27</v>
      </c>
      <c r="D728" s="1">
        <v>11632</v>
      </c>
      <c r="E728" s="1">
        <v>16570</v>
      </c>
      <c r="F728" s="1">
        <v>35396</v>
      </c>
      <c r="G728" s="1" t="s">
        <v>54</v>
      </c>
      <c r="H728" s="1">
        <v>0.19433198400000001</v>
      </c>
      <c r="I728" s="1">
        <v>0.13765182200000001</v>
      </c>
      <c r="J728" s="1">
        <v>0.189473684</v>
      </c>
      <c r="K728" s="1">
        <v>0.13036437200000001</v>
      </c>
      <c r="L728" s="1">
        <v>0.34817813800000003</v>
      </c>
      <c r="M728" s="1" t="s">
        <v>16</v>
      </c>
      <c r="N728" s="1" t="s">
        <v>17</v>
      </c>
    </row>
    <row r="729" spans="1:14" ht="15.75" customHeight="1">
      <c r="A729" s="1">
        <v>0.82957261699999996</v>
      </c>
      <c r="B729" s="1">
        <v>1188</v>
      </c>
      <c r="C729" s="1">
        <v>27</v>
      </c>
      <c r="D729" s="1">
        <v>11848</v>
      </c>
      <c r="E729" s="1">
        <v>15496</v>
      </c>
      <c r="F729" s="1">
        <v>37174</v>
      </c>
      <c r="G729" s="1" t="s">
        <v>54</v>
      </c>
      <c r="H729" s="1">
        <v>0.25836065600000002</v>
      </c>
      <c r="I729" s="1">
        <v>0.179016393</v>
      </c>
      <c r="J729" s="1">
        <v>0.18754098399999999</v>
      </c>
      <c r="K729" s="1">
        <v>0.14885245899999999</v>
      </c>
      <c r="L729" s="1">
        <v>0.226229508</v>
      </c>
      <c r="M729" s="1" t="s">
        <v>16</v>
      </c>
      <c r="N729" s="1" t="s">
        <v>17</v>
      </c>
    </row>
    <row r="730" spans="1:14" ht="15.75" customHeight="1">
      <c r="A730" s="1">
        <v>0.92158464399999995</v>
      </c>
      <c r="B730" s="1">
        <v>1152</v>
      </c>
      <c r="C730" s="1">
        <v>24</v>
      </c>
      <c r="D730" s="1">
        <v>5289</v>
      </c>
      <c r="E730" s="1">
        <v>15208</v>
      </c>
      <c r="F730" s="1">
        <v>31750</v>
      </c>
      <c r="G730" s="1" t="s">
        <v>54</v>
      </c>
      <c r="H730" s="1">
        <v>0.213675214</v>
      </c>
      <c r="I730" s="1">
        <v>0.155982906</v>
      </c>
      <c r="J730" s="1">
        <v>0.204059829</v>
      </c>
      <c r="K730" s="1">
        <v>0.143162393</v>
      </c>
      <c r="L730" s="1">
        <v>0.283119658</v>
      </c>
      <c r="M730" s="1" t="s">
        <v>16</v>
      </c>
      <c r="N730" s="1" t="s">
        <v>17</v>
      </c>
    </row>
    <row r="731" spans="1:14" ht="15.75" customHeight="1">
      <c r="A731" s="1">
        <v>0.91006518599999997</v>
      </c>
      <c r="B731" s="1">
        <v>1099</v>
      </c>
      <c r="C731" s="1">
        <v>24</v>
      </c>
      <c r="D731" s="1">
        <v>9916</v>
      </c>
      <c r="E731" s="1">
        <v>14190</v>
      </c>
      <c r="F731" s="1">
        <v>14190</v>
      </c>
      <c r="G731" s="1" t="s">
        <v>54</v>
      </c>
      <c r="H731" s="1">
        <v>0.16063492100000001</v>
      </c>
      <c r="I731" s="1">
        <v>0.10920634899999999</v>
      </c>
      <c r="J731" s="1">
        <v>0.15428571399999999</v>
      </c>
      <c r="K731" s="1">
        <v>0.171428571</v>
      </c>
      <c r="L731" s="1">
        <v>0.40444444400000001</v>
      </c>
      <c r="M731" s="1" t="s">
        <v>16</v>
      </c>
      <c r="N731" s="1" t="s">
        <v>17</v>
      </c>
    </row>
    <row r="732" spans="1:14" ht="15.75" customHeight="1">
      <c r="A732" s="1">
        <v>0.81347353899999997</v>
      </c>
      <c r="B732" s="1">
        <v>1046</v>
      </c>
      <c r="C732" s="1">
        <v>22</v>
      </c>
      <c r="D732" s="1">
        <v>10751</v>
      </c>
      <c r="E732" s="1">
        <v>15510</v>
      </c>
      <c r="F732" s="1">
        <v>15510</v>
      </c>
      <c r="G732" s="1" t="s">
        <v>54</v>
      </c>
      <c r="H732" s="1">
        <v>0.32428356000000003</v>
      </c>
      <c r="I732" s="1">
        <v>0.19683257900000001</v>
      </c>
      <c r="J732" s="1">
        <v>0.184012066</v>
      </c>
      <c r="K732" s="1">
        <v>0.119909502</v>
      </c>
      <c r="L732" s="1">
        <v>0.17496229299999999</v>
      </c>
      <c r="M732" s="1" t="s">
        <v>16</v>
      </c>
      <c r="N732" s="1" t="s">
        <v>17</v>
      </c>
    </row>
    <row r="733" spans="1:14" ht="15.75" customHeight="1">
      <c r="A733" s="1">
        <v>0.80582320900000004</v>
      </c>
      <c r="B733" s="1">
        <v>1001</v>
      </c>
      <c r="C733" s="1">
        <v>20</v>
      </c>
      <c r="D733" s="1">
        <v>8087</v>
      </c>
      <c r="E733" s="1">
        <v>13630</v>
      </c>
      <c r="F733" s="1">
        <v>13630</v>
      </c>
      <c r="G733" s="1" t="s">
        <v>54</v>
      </c>
      <c r="H733" s="1">
        <v>0.262469338</v>
      </c>
      <c r="I733" s="1">
        <v>0.183973835</v>
      </c>
      <c r="J733" s="1">
        <v>0.16762060500000001</v>
      </c>
      <c r="K733" s="1">
        <v>0.161079313</v>
      </c>
      <c r="L733" s="1">
        <v>0.22485690899999999</v>
      </c>
      <c r="M733" s="1" t="s">
        <v>16</v>
      </c>
      <c r="N733" s="1" t="s">
        <v>17</v>
      </c>
    </row>
    <row r="734" spans="1:14" ht="15.75" customHeight="1">
      <c r="A734" s="1">
        <v>0.94694818300000005</v>
      </c>
      <c r="B734" s="1">
        <v>1079</v>
      </c>
      <c r="C734" s="1">
        <v>24</v>
      </c>
      <c r="D734" s="1">
        <v>19073</v>
      </c>
      <c r="E734" s="1">
        <v>14628</v>
      </c>
      <c r="F734" s="1">
        <v>20820</v>
      </c>
      <c r="G734" s="1" t="s">
        <v>54</v>
      </c>
      <c r="H734" s="1">
        <v>0.213957759</v>
      </c>
      <c r="I734" s="1">
        <v>0.165289256</v>
      </c>
      <c r="J734" s="1">
        <v>0.163452709</v>
      </c>
      <c r="K734" s="1">
        <v>0.13452708899999999</v>
      </c>
      <c r="L734" s="1">
        <v>0.32277318599999999</v>
      </c>
      <c r="M734" s="1" t="s">
        <v>16</v>
      </c>
      <c r="N734" s="1" t="s">
        <v>17</v>
      </c>
    </row>
    <row r="735" spans="1:14" ht="15.75" customHeight="1">
      <c r="A735" s="1">
        <v>0.87944346100000004</v>
      </c>
      <c r="B735" s="1">
        <v>1243</v>
      </c>
      <c r="C735" s="1">
        <v>28</v>
      </c>
      <c r="D735" s="1">
        <v>5829</v>
      </c>
      <c r="E735" s="1">
        <v>18392</v>
      </c>
      <c r="F735" s="1">
        <v>41340</v>
      </c>
      <c r="G735" s="1" t="s">
        <v>54</v>
      </c>
      <c r="H735" s="1">
        <v>0.15823817300000001</v>
      </c>
      <c r="I735" s="1">
        <v>9.9510604000000003E-2</v>
      </c>
      <c r="J735" s="1">
        <v>0.14845024500000001</v>
      </c>
      <c r="K735" s="1">
        <v>0.210440457</v>
      </c>
      <c r="L735" s="1">
        <v>0.38336052199999998</v>
      </c>
      <c r="M735" s="1" t="s">
        <v>16</v>
      </c>
      <c r="N735" s="1" t="s">
        <v>17</v>
      </c>
    </row>
    <row r="736" spans="1:14" ht="15.75" customHeight="1">
      <c r="A736" s="1">
        <v>0.58627657</v>
      </c>
      <c r="B736" s="1">
        <v>1127</v>
      </c>
      <c r="C736" s="1">
        <v>26</v>
      </c>
      <c r="D736" s="1">
        <v>5882</v>
      </c>
      <c r="E736" s="1">
        <v>14944</v>
      </c>
      <c r="F736" s="1">
        <v>31360</v>
      </c>
      <c r="G736" s="1" t="s">
        <v>54</v>
      </c>
      <c r="H736" s="1">
        <v>0.32059800700000002</v>
      </c>
      <c r="I736" s="1">
        <v>0.23255814</v>
      </c>
      <c r="J736" s="1">
        <v>0.194352159</v>
      </c>
      <c r="K736" s="1">
        <v>0.106312292</v>
      </c>
      <c r="L736" s="1">
        <v>0.14617940200000001</v>
      </c>
      <c r="M736" s="1" t="s">
        <v>16</v>
      </c>
      <c r="N736" s="1" t="s">
        <v>17</v>
      </c>
    </row>
    <row r="737" spans="1:14" ht="15.75" customHeight="1">
      <c r="A737" s="1">
        <v>0.68827508500000001</v>
      </c>
      <c r="B737" s="1">
        <v>1104</v>
      </c>
      <c r="C737" s="1">
        <v>24</v>
      </c>
      <c r="D737" s="1">
        <v>4157</v>
      </c>
      <c r="E737" s="1">
        <v>14014</v>
      </c>
      <c r="F737" s="1">
        <v>31274</v>
      </c>
      <c r="G737" s="1" t="s">
        <v>54</v>
      </c>
      <c r="H737" s="1">
        <v>0.25845410600000002</v>
      </c>
      <c r="I737" s="1">
        <v>0.12560386500000001</v>
      </c>
      <c r="J737" s="1">
        <v>0.169082126</v>
      </c>
      <c r="K737" s="1">
        <v>0.14251207699999999</v>
      </c>
      <c r="L737" s="1">
        <v>0.30434782599999999</v>
      </c>
      <c r="M737" s="1" t="s">
        <v>16</v>
      </c>
      <c r="N737" s="1" t="s">
        <v>17</v>
      </c>
    </row>
    <row r="738" spans="1:14" ht="15.75" customHeight="1">
      <c r="A738" s="1">
        <v>0.72882019200000003</v>
      </c>
      <c r="B738" s="1">
        <v>1051</v>
      </c>
      <c r="C738" s="1">
        <v>21</v>
      </c>
      <c r="D738" s="1">
        <v>6004</v>
      </c>
      <c r="E738" s="1">
        <v>12240</v>
      </c>
      <c r="F738" s="1">
        <v>28752</v>
      </c>
      <c r="G738" s="1" t="s">
        <v>54</v>
      </c>
      <c r="H738" s="1">
        <v>0.198850575</v>
      </c>
      <c r="I738" s="1">
        <v>0.18620689700000001</v>
      </c>
      <c r="J738" s="1">
        <v>0.16896551700000001</v>
      </c>
      <c r="K738" s="1">
        <v>0.15287356299999999</v>
      </c>
      <c r="L738" s="1">
        <v>0.29310344799999999</v>
      </c>
      <c r="M738" s="1" t="s">
        <v>16</v>
      </c>
      <c r="N738" s="1" t="s">
        <v>17</v>
      </c>
    </row>
    <row r="739" spans="1:14" ht="15.75" customHeight="1">
      <c r="A739" s="1">
        <v>0.82034233000000001</v>
      </c>
      <c r="B739" s="1">
        <v>1147</v>
      </c>
      <c r="C739" s="1">
        <v>25</v>
      </c>
      <c r="D739" s="1">
        <v>15676</v>
      </c>
      <c r="E739" s="1">
        <v>14297</v>
      </c>
      <c r="F739" s="1">
        <v>30419</v>
      </c>
      <c r="G739" s="1" t="s">
        <v>54</v>
      </c>
      <c r="H739" s="1">
        <v>0.36066624000000003</v>
      </c>
      <c r="I739" s="1">
        <v>0.213965407</v>
      </c>
      <c r="J739" s="1">
        <v>0.196668802</v>
      </c>
      <c r="K739" s="1">
        <v>9.0967329E-2</v>
      </c>
      <c r="L739" s="1">
        <v>0.13773222299999999</v>
      </c>
      <c r="M739" s="1" t="s">
        <v>16</v>
      </c>
      <c r="N739" s="1" t="s">
        <v>17</v>
      </c>
    </row>
    <row r="740" spans="1:14" ht="15.75" customHeight="1">
      <c r="A740" s="1">
        <v>0.84676616900000001</v>
      </c>
      <c r="B740" s="1">
        <v>1108</v>
      </c>
      <c r="C740" s="1">
        <v>24</v>
      </c>
      <c r="D740" s="1">
        <v>12704</v>
      </c>
      <c r="E740" s="1">
        <v>15298</v>
      </c>
      <c r="F740" s="1">
        <v>19098</v>
      </c>
      <c r="G740" s="1" t="s">
        <v>54</v>
      </c>
      <c r="H740" s="1">
        <v>0.19281811099999999</v>
      </c>
      <c r="I740" s="1">
        <v>0.156908665</v>
      </c>
      <c r="J740" s="1">
        <v>0.135050742</v>
      </c>
      <c r="K740" s="1">
        <v>0.15222482400000001</v>
      </c>
      <c r="L740" s="1">
        <v>0.362997658</v>
      </c>
      <c r="M740" s="1" t="s">
        <v>16</v>
      </c>
      <c r="N740" s="1" t="s">
        <v>17</v>
      </c>
    </row>
    <row r="741" spans="1:14" ht="15.75" customHeight="1">
      <c r="A741" s="1">
        <v>0.70664335700000003</v>
      </c>
      <c r="B741" s="1">
        <v>1090</v>
      </c>
      <c r="C741" s="1">
        <v>21</v>
      </c>
      <c r="D741" s="1">
        <v>3120</v>
      </c>
      <c r="E741" s="1">
        <v>10164</v>
      </c>
      <c r="F741" s="1">
        <v>10164</v>
      </c>
      <c r="G741" s="1" t="s">
        <v>54</v>
      </c>
      <c r="H741" s="1">
        <v>0.15018314999999999</v>
      </c>
      <c r="I741" s="1">
        <v>0.102564103</v>
      </c>
      <c r="J741" s="1">
        <v>0.12087912100000001</v>
      </c>
      <c r="K741" s="1">
        <v>0.22710622699999999</v>
      </c>
      <c r="L741" s="1">
        <v>0.39926739900000002</v>
      </c>
      <c r="M741" s="1" t="s">
        <v>16</v>
      </c>
      <c r="N741" s="1" t="s">
        <v>17</v>
      </c>
    </row>
    <row r="742" spans="1:14" ht="15.75" customHeight="1">
      <c r="A742" s="1">
        <v>0.91330510399999998</v>
      </c>
      <c r="B742" s="1">
        <v>1190</v>
      </c>
      <c r="C742" s="1">
        <v>24</v>
      </c>
      <c r="D742" s="1">
        <v>11325</v>
      </c>
      <c r="E742" s="1">
        <v>9490</v>
      </c>
      <c r="F742" s="1">
        <v>18860</v>
      </c>
      <c r="G742" s="1" t="s">
        <v>54</v>
      </c>
      <c r="H742" s="1">
        <v>0.101367659</v>
      </c>
      <c r="I742" s="1">
        <v>9.1713595999999994E-2</v>
      </c>
      <c r="J742" s="1">
        <v>0.15687851999999999</v>
      </c>
      <c r="K742" s="1">
        <v>0.17377313</v>
      </c>
      <c r="L742" s="1">
        <v>0.476267096</v>
      </c>
      <c r="M742" s="1" t="s">
        <v>16</v>
      </c>
      <c r="N742" s="1" t="s">
        <v>17</v>
      </c>
    </row>
    <row r="743" spans="1:14" ht="15.75" customHeight="1">
      <c r="A743" s="1">
        <v>0.96494464899999999</v>
      </c>
      <c r="B743" s="1">
        <v>1020</v>
      </c>
      <c r="C743" s="1">
        <v>19</v>
      </c>
      <c r="D743" s="1">
        <v>4998</v>
      </c>
      <c r="E743" s="1">
        <v>9780</v>
      </c>
      <c r="F743" s="1">
        <v>9780</v>
      </c>
      <c r="G743" s="1" t="s">
        <v>54</v>
      </c>
      <c r="H743" s="1">
        <v>0.45569620300000002</v>
      </c>
      <c r="I743" s="1">
        <v>0.24050632899999999</v>
      </c>
      <c r="J743" s="1">
        <v>0.12658227799999999</v>
      </c>
      <c r="K743" s="1">
        <v>6.3291138999999996E-2</v>
      </c>
      <c r="L743" s="1">
        <v>0.113924051</v>
      </c>
      <c r="M743" s="1" t="s">
        <v>16</v>
      </c>
      <c r="N743" s="1" t="s">
        <v>17</v>
      </c>
    </row>
    <row r="744" spans="1:14" ht="15.75" customHeight="1">
      <c r="A744" s="1">
        <v>0.81751210299999999</v>
      </c>
      <c r="B744" s="1">
        <v>1221</v>
      </c>
      <c r="C744" s="1">
        <v>25</v>
      </c>
      <c r="D744" s="1">
        <v>7475</v>
      </c>
      <c r="E744" s="1">
        <v>14318</v>
      </c>
      <c r="F744" s="1">
        <v>19762</v>
      </c>
      <c r="G744" s="1" t="s">
        <v>54</v>
      </c>
      <c r="H744" s="1">
        <v>9.5505618E-2</v>
      </c>
      <c r="I744" s="1">
        <v>8.6142321999999993E-2</v>
      </c>
      <c r="J744" s="1">
        <v>0.151685393</v>
      </c>
      <c r="K744" s="1">
        <v>0.16104868899999999</v>
      </c>
      <c r="L744" s="1">
        <v>0.50561797799999997</v>
      </c>
      <c r="M744" s="1" t="s">
        <v>16</v>
      </c>
      <c r="N744" s="1" t="s">
        <v>17</v>
      </c>
    </row>
    <row r="745" spans="1:14" ht="15.75" customHeight="1">
      <c r="A745" s="1">
        <v>0.52621400900000004</v>
      </c>
      <c r="B745" s="1">
        <v>1090</v>
      </c>
      <c r="C745" s="1">
        <v>21</v>
      </c>
      <c r="D745" s="1">
        <v>3120</v>
      </c>
      <c r="E745" s="1">
        <v>10336</v>
      </c>
      <c r="F745" s="1">
        <v>10336</v>
      </c>
      <c r="G745" s="1" t="s">
        <v>54</v>
      </c>
      <c r="H745" s="1">
        <v>0.121580547</v>
      </c>
      <c r="I745" s="1">
        <v>0.100303951</v>
      </c>
      <c r="J745" s="1">
        <v>0.200607903</v>
      </c>
      <c r="K745" s="1">
        <v>0.21884498499999999</v>
      </c>
      <c r="L745" s="1">
        <v>0.35866261399999999</v>
      </c>
      <c r="M745" s="1" t="s">
        <v>16</v>
      </c>
      <c r="N745" s="1" t="s">
        <v>17</v>
      </c>
    </row>
    <row r="746" spans="1:14" ht="15.75" customHeight="1">
      <c r="A746" s="1">
        <v>0.94946279300000003</v>
      </c>
      <c r="B746" s="1">
        <v>1091</v>
      </c>
      <c r="C746" s="1">
        <v>21</v>
      </c>
      <c r="D746" s="1">
        <v>5181</v>
      </c>
      <c r="E746" s="1">
        <v>10117</v>
      </c>
      <c r="F746" s="1">
        <v>10117</v>
      </c>
      <c r="G746" s="1" t="s">
        <v>54</v>
      </c>
      <c r="H746" s="1">
        <v>0.21372031699999999</v>
      </c>
      <c r="I746" s="1">
        <v>0.17414247999999999</v>
      </c>
      <c r="J746" s="1">
        <v>0.19261213699999999</v>
      </c>
      <c r="K746" s="1">
        <v>0.163588391</v>
      </c>
      <c r="L746" s="1">
        <v>0.255936675</v>
      </c>
      <c r="M746" s="1" t="s">
        <v>16</v>
      </c>
      <c r="N746" s="1" t="s">
        <v>17</v>
      </c>
    </row>
    <row r="747" spans="1:14" ht="15.75" customHeight="1">
      <c r="A747" s="1">
        <v>0.689353612</v>
      </c>
      <c r="B747" s="1">
        <v>1020</v>
      </c>
      <c r="C747" s="1">
        <v>19</v>
      </c>
      <c r="D747" s="1">
        <v>2045</v>
      </c>
      <c r="E747" s="1">
        <v>10304</v>
      </c>
      <c r="F747" s="1">
        <v>10304</v>
      </c>
      <c r="G747" s="1" t="s">
        <v>54</v>
      </c>
      <c r="H747" s="1">
        <v>0.153374233</v>
      </c>
      <c r="I747" s="1">
        <v>0.14110429399999999</v>
      </c>
      <c r="J747" s="1">
        <v>0.20858895699999999</v>
      </c>
      <c r="K747" s="1">
        <v>0.239263804</v>
      </c>
      <c r="L747" s="1">
        <v>0.25766871200000002</v>
      </c>
      <c r="M747" s="1" t="s">
        <v>16</v>
      </c>
      <c r="N747" s="1" t="s">
        <v>17</v>
      </c>
    </row>
    <row r="748" spans="1:14" ht="15.75" customHeight="1">
      <c r="A748" s="1">
        <v>0.685176165</v>
      </c>
      <c r="B748" s="1">
        <v>1119</v>
      </c>
      <c r="C748" s="1">
        <v>22</v>
      </c>
      <c r="D748" s="1">
        <v>5088</v>
      </c>
      <c r="E748" s="1">
        <v>10498</v>
      </c>
      <c r="F748" s="1">
        <v>17230</v>
      </c>
      <c r="G748" s="1" t="s">
        <v>54</v>
      </c>
      <c r="H748" s="1">
        <v>0.102857143</v>
      </c>
      <c r="I748" s="1">
        <v>8.9523809999999995E-2</v>
      </c>
      <c r="J748" s="1">
        <v>0.16190476200000001</v>
      </c>
      <c r="K748" s="1">
        <v>0.21333333300000001</v>
      </c>
      <c r="L748" s="1">
        <v>0.43238095199999999</v>
      </c>
      <c r="M748" s="1" t="s">
        <v>16</v>
      </c>
      <c r="N748" s="1" t="s">
        <v>17</v>
      </c>
    </row>
    <row r="749" spans="1:14" ht="15.75" customHeight="1">
      <c r="A749" s="1">
        <v>0.24657169500000001</v>
      </c>
      <c r="B749" s="1">
        <v>1039</v>
      </c>
      <c r="C749" s="1">
        <v>20</v>
      </c>
      <c r="D749" s="1">
        <v>2290</v>
      </c>
      <c r="E749" s="1">
        <v>8549</v>
      </c>
      <c r="F749" s="1">
        <v>8549</v>
      </c>
      <c r="G749" s="1" t="s">
        <v>54</v>
      </c>
      <c r="H749" s="1">
        <v>0.50993377500000003</v>
      </c>
      <c r="I749" s="1">
        <v>0.25386313500000002</v>
      </c>
      <c r="J749" s="1">
        <v>0.123620309</v>
      </c>
      <c r="K749" s="1">
        <v>5.2980131999999999E-2</v>
      </c>
      <c r="L749" s="1">
        <v>5.9602649000000001E-2</v>
      </c>
      <c r="M749" s="1" t="s">
        <v>16</v>
      </c>
      <c r="N749" s="1" t="s">
        <v>17</v>
      </c>
    </row>
    <row r="750" spans="1:14" ht="15.75" customHeight="1">
      <c r="A750" s="1">
        <v>0.99677938799999999</v>
      </c>
      <c r="B750" s="1">
        <v>1091</v>
      </c>
      <c r="C750" s="1">
        <v>21</v>
      </c>
      <c r="D750" s="1">
        <v>1613</v>
      </c>
      <c r="E750" s="1">
        <v>8605</v>
      </c>
      <c r="F750" s="1">
        <v>8605</v>
      </c>
      <c r="G750" s="1" t="s">
        <v>54</v>
      </c>
      <c r="H750" s="1">
        <v>0.39855072499999999</v>
      </c>
      <c r="I750" s="1">
        <v>0.123188406</v>
      </c>
      <c r="J750" s="1">
        <v>0.16666666699999999</v>
      </c>
      <c r="K750" s="1">
        <v>7.2463767999999998E-2</v>
      </c>
      <c r="L750" s="1">
        <v>0.239130435</v>
      </c>
      <c r="M750" s="1" t="s">
        <v>16</v>
      </c>
      <c r="N750" s="1" t="s">
        <v>17</v>
      </c>
    </row>
    <row r="751" spans="1:14" ht="15.75" customHeight="1">
      <c r="A751" s="1">
        <v>0.91033165999999999</v>
      </c>
      <c r="B751" s="1">
        <v>974</v>
      </c>
      <c r="C751" s="1">
        <v>18</v>
      </c>
      <c r="D751" s="1">
        <v>4769</v>
      </c>
      <c r="E751" s="1">
        <v>9090</v>
      </c>
      <c r="F751" s="1">
        <v>10110</v>
      </c>
      <c r="G751" s="1" t="s">
        <v>54</v>
      </c>
      <c r="H751" s="1">
        <v>0.53900709199999997</v>
      </c>
      <c r="I751" s="1">
        <v>0.20921985800000001</v>
      </c>
      <c r="J751" s="1">
        <v>0.14893617000000001</v>
      </c>
      <c r="K751" s="1">
        <v>5.3191489000000002E-2</v>
      </c>
      <c r="L751" s="1">
        <v>4.9645389999999998E-2</v>
      </c>
      <c r="M751" s="1" t="s">
        <v>16</v>
      </c>
      <c r="N751" s="1" t="s">
        <v>17</v>
      </c>
    </row>
    <row r="752" spans="1:14" ht="15.75" customHeight="1">
      <c r="A752" s="1">
        <v>0.97776340799999995</v>
      </c>
      <c r="B752" s="1">
        <v>1187</v>
      </c>
      <c r="C752" s="1">
        <v>25</v>
      </c>
      <c r="D752" s="1">
        <v>18995</v>
      </c>
      <c r="E752" s="1">
        <v>9412</v>
      </c>
      <c r="F752" s="1">
        <v>26980</v>
      </c>
      <c r="G752" s="1" t="s">
        <v>54</v>
      </c>
      <c r="H752" s="1">
        <v>0.34597156400000001</v>
      </c>
      <c r="I752" s="1">
        <v>0.18720379100000001</v>
      </c>
      <c r="J752" s="1">
        <v>0.167061611</v>
      </c>
      <c r="K752" s="1">
        <v>0.109004739</v>
      </c>
      <c r="L752" s="1">
        <v>0.19075829399999999</v>
      </c>
      <c r="M752" s="1" t="s">
        <v>16</v>
      </c>
      <c r="N752" s="1" t="s">
        <v>17</v>
      </c>
    </row>
    <row r="753" spans="1:14" ht="15.75" customHeight="1">
      <c r="A753" s="1">
        <v>1</v>
      </c>
      <c r="B753" s="1">
        <v>1050</v>
      </c>
      <c r="C753" s="1">
        <v>20</v>
      </c>
      <c r="D753" s="1">
        <v>1593</v>
      </c>
      <c r="E753" s="1">
        <v>8092</v>
      </c>
      <c r="F753" s="1">
        <v>8092</v>
      </c>
      <c r="G753" s="1" t="s">
        <v>54</v>
      </c>
      <c r="H753" s="1">
        <v>0.51111111099999995</v>
      </c>
      <c r="I753" s="1">
        <v>0.177777778</v>
      </c>
      <c r="J753" s="1">
        <v>0.1</v>
      </c>
      <c r="K753" s="1">
        <v>7.7777778000000006E-2</v>
      </c>
      <c r="L753" s="1">
        <v>0.133333333</v>
      </c>
      <c r="M753" s="1" t="s">
        <v>16</v>
      </c>
      <c r="N753" s="1" t="s">
        <v>17</v>
      </c>
    </row>
    <row r="754" spans="1:14" ht="15.75" customHeight="1">
      <c r="A754" s="1">
        <v>0.51158018199999999</v>
      </c>
      <c r="B754" s="1">
        <v>910</v>
      </c>
      <c r="C754" s="1">
        <v>16</v>
      </c>
      <c r="D754" s="1">
        <v>1326</v>
      </c>
      <c r="E754" s="1">
        <v>7912</v>
      </c>
      <c r="F754" s="1">
        <v>7912</v>
      </c>
      <c r="G754" s="1" t="s">
        <v>54</v>
      </c>
      <c r="H754" s="1">
        <v>0.592592593</v>
      </c>
      <c r="I754" s="1">
        <v>0.253968254</v>
      </c>
      <c r="J754" s="1">
        <v>0.111111111</v>
      </c>
      <c r="K754" s="1">
        <v>3.1746032E-2</v>
      </c>
      <c r="L754" s="1">
        <v>1.0582011000000001E-2</v>
      </c>
      <c r="M754" s="1" t="s">
        <v>16</v>
      </c>
      <c r="N754" s="1" t="s">
        <v>17</v>
      </c>
    </row>
    <row r="755" spans="1:14" ht="15.75" customHeight="1">
      <c r="A755" s="1">
        <v>0.76323226499999997</v>
      </c>
      <c r="B755" s="1">
        <v>1220</v>
      </c>
      <c r="C755" s="1">
        <v>25</v>
      </c>
      <c r="D755" s="1">
        <v>18092</v>
      </c>
      <c r="E755" s="1">
        <v>9815</v>
      </c>
      <c r="F755" s="1">
        <v>26580</v>
      </c>
      <c r="G755" s="1" t="s">
        <v>54</v>
      </c>
      <c r="H755" s="1">
        <v>0.33534482799999998</v>
      </c>
      <c r="I755" s="1">
        <v>0.184482759</v>
      </c>
      <c r="J755" s="1">
        <v>0.16551724100000001</v>
      </c>
      <c r="K755" s="1">
        <v>0.11637931</v>
      </c>
      <c r="L755" s="1">
        <v>0.198275862</v>
      </c>
      <c r="M755" s="1" t="s">
        <v>16</v>
      </c>
      <c r="N755" s="1" t="s">
        <v>17</v>
      </c>
    </row>
    <row r="756" spans="1:14" ht="15.75" customHeight="1">
      <c r="A756" s="1">
        <v>0.99376275800000002</v>
      </c>
      <c r="B756" s="1">
        <v>1120</v>
      </c>
      <c r="C756" s="1">
        <v>22</v>
      </c>
      <c r="D756" s="1">
        <v>9899</v>
      </c>
      <c r="E756" s="1">
        <v>9618</v>
      </c>
      <c r="F756" s="1">
        <v>11618</v>
      </c>
      <c r="G756" s="1" t="s">
        <v>54</v>
      </c>
      <c r="H756" s="1">
        <v>0.493771234</v>
      </c>
      <c r="I756" s="1">
        <v>0.184597961</v>
      </c>
      <c r="J756" s="1">
        <v>0.12231030599999999</v>
      </c>
      <c r="K756" s="1">
        <v>8.7202717999999999E-2</v>
      </c>
      <c r="L756" s="1">
        <v>0.11211778</v>
      </c>
      <c r="M756" s="1" t="s">
        <v>16</v>
      </c>
      <c r="N756" s="1" t="s">
        <v>17</v>
      </c>
    </row>
    <row r="757" spans="1:14" ht="15.75" customHeight="1">
      <c r="A757" s="1">
        <v>0.68606524400000002</v>
      </c>
      <c r="B757" s="1">
        <v>1090</v>
      </c>
      <c r="C757" s="1">
        <v>21</v>
      </c>
      <c r="D757" s="1">
        <v>5653</v>
      </c>
      <c r="E757" s="1">
        <v>9739</v>
      </c>
      <c r="F757" s="1">
        <v>18064</v>
      </c>
      <c r="G757" s="1" t="s">
        <v>54</v>
      </c>
      <c r="H757" s="1">
        <v>0.24373956599999999</v>
      </c>
      <c r="I757" s="1">
        <v>0.15692821400000001</v>
      </c>
      <c r="J757" s="1">
        <v>0.166944908</v>
      </c>
      <c r="K757" s="1">
        <v>0.14524207</v>
      </c>
      <c r="L757" s="1">
        <v>0.28714524200000002</v>
      </c>
      <c r="M757" s="1" t="s">
        <v>16</v>
      </c>
      <c r="N757" s="1" t="s">
        <v>17</v>
      </c>
    </row>
    <row r="758" spans="1:14" ht="15.75" customHeight="1">
      <c r="A758" s="1">
        <v>0.97437011299999998</v>
      </c>
      <c r="B758" s="1">
        <v>1090</v>
      </c>
      <c r="C758" s="1">
        <v>21</v>
      </c>
      <c r="D758" s="1">
        <v>3101</v>
      </c>
      <c r="E758" s="1">
        <v>8400</v>
      </c>
      <c r="F758" s="1">
        <v>16800</v>
      </c>
      <c r="G758" s="1" t="s">
        <v>54</v>
      </c>
      <c r="H758" s="1">
        <v>0.302259887</v>
      </c>
      <c r="I758" s="1">
        <v>0.25988700599999998</v>
      </c>
      <c r="J758" s="1">
        <v>0.16666666699999999</v>
      </c>
      <c r="K758" s="1">
        <v>0.138418079</v>
      </c>
      <c r="L758" s="1">
        <v>0.132768362</v>
      </c>
      <c r="M758" s="1" t="s">
        <v>16</v>
      </c>
      <c r="N758" s="1" t="s">
        <v>17</v>
      </c>
    </row>
    <row r="759" spans="1:14" ht="15.75" customHeight="1">
      <c r="A759" s="1">
        <v>0.77022474500000004</v>
      </c>
      <c r="B759" s="1">
        <v>1247</v>
      </c>
      <c r="C759" s="1">
        <v>26</v>
      </c>
      <c r="D759" s="1">
        <v>23118</v>
      </c>
      <c r="E759" s="1">
        <v>14130</v>
      </c>
      <c r="F759" s="1">
        <v>34338</v>
      </c>
      <c r="G759" s="1" t="s">
        <v>54</v>
      </c>
      <c r="H759" s="1">
        <v>0.13826735500000001</v>
      </c>
      <c r="I759" s="1">
        <v>0.12335054500000001</v>
      </c>
      <c r="J759" s="1">
        <v>0.15261044200000001</v>
      </c>
      <c r="K759" s="1">
        <v>0.15949512299999999</v>
      </c>
      <c r="L759" s="1">
        <v>0.42627653500000001</v>
      </c>
      <c r="M759" s="1" t="s">
        <v>16</v>
      </c>
      <c r="N759" s="1" t="s">
        <v>17</v>
      </c>
    </row>
    <row r="760" spans="1:14" ht="15.75" customHeight="1">
      <c r="A760" s="1">
        <v>0.74991382299999998</v>
      </c>
      <c r="B760" s="1">
        <v>1230</v>
      </c>
      <c r="C760" s="1">
        <v>25</v>
      </c>
      <c r="D760" s="1">
        <v>6618</v>
      </c>
      <c r="E760" s="1">
        <v>11988</v>
      </c>
      <c r="F760" s="1">
        <v>28788</v>
      </c>
      <c r="G760" s="1" t="s">
        <v>54</v>
      </c>
      <c r="H760" s="1">
        <v>0.31531531499999998</v>
      </c>
      <c r="I760" s="1">
        <v>0.19279279299999999</v>
      </c>
      <c r="J760" s="1">
        <v>0.201801802</v>
      </c>
      <c r="K760" s="1">
        <v>0.13153153200000001</v>
      </c>
      <c r="L760" s="1">
        <v>0.15855855899999999</v>
      </c>
      <c r="M760" s="1" t="s">
        <v>16</v>
      </c>
      <c r="N760" s="1" t="s">
        <v>17</v>
      </c>
    </row>
    <row r="761" spans="1:14" ht="15.75" customHeight="1">
      <c r="A761" s="1">
        <v>0.73071751600000001</v>
      </c>
      <c r="B761" s="1">
        <v>1287</v>
      </c>
      <c r="C761" s="1">
        <v>27</v>
      </c>
      <c r="D761" s="1">
        <v>5467</v>
      </c>
      <c r="E761" s="1">
        <v>14278</v>
      </c>
      <c r="F761" s="1">
        <v>31678</v>
      </c>
      <c r="G761" s="1" t="s">
        <v>54</v>
      </c>
      <c r="H761" s="1">
        <v>0.164529915</v>
      </c>
      <c r="I761" s="1">
        <v>0.11965812000000001</v>
      </c>
      <c r="J761" s="1">
        <v>0.20299145299999999</v>
      </c>
      <c r="K761" s="1">
        <v>0.18376068400000001</v>
      </c>
      <c r="L761" s="1">
        <v>0.32905982900000003</v>
      </c>
      <c r="M761" s="1" t="s">
        <v>16</v>
      </c>
      <c r="N761" s="1" t="s">
        <v>17</v>
      </c>
    </row>
    <row r="762" spans="1:14" ht="15.75" customHeight="1">
      <c r="A762" s="1">
        <v>0.57164469399999995</v>
      </c>
      <c r="B762" s="1">
        <v>1147</v>
      </c>
      <c r="C762" s="1">
        <v>23</v>
      </c>
      <c r="D762" s="1">
        <v>5108</v>
      </c>
      <c r="E762" s="1">
        <v>13440</v>
      </c>
      <c r="F762" s="1">
        <v>33432</v>
      </c>
      <c r="G762" s="1" t="s">
        <v>54</v>
      </c>
      <c r="H762" s="1">
        <v>0.34745762699999999</v>
      </c>
      <c r="I762" s="1">
        <v>0.21610169500000001</v>
      </c>
      <c r="J762" s="1">
        <v>0.22457627099999999</v>
      </c>
      <c r="K762" s="1">
        <v>9.3220338999999999E-2</v>
      </c>
      <c r="L762" s="1">
        <v>0.11864406800000001</v>
      </c>
      <c r="M762" s="1" t="s">
        <v>16</v>
      </c>
      <c r="N762" s="1" t="s">
        <v>17</v>
      </c>
    </row>
    <row r="763" spans="1:14" ht="15.75" customHeight="1">
      <c r="A763" s="1">
        <v>0.79957094699999998</v>
      </c>
      <c r="B763" s="1">
        <v>1249</v>
      </c>
      <c r="C763" s="1">
        <v>26</v>
      </c>
      <c r="D763" s="1">
        <v>2666</v>
      </c>
      <c r="E763" s="1">
        <v>9470</v>
      </c>
      <c r="F763" s="1">
        <v>17870</v>
      </c>
      <c r="G763" s="1" t="s">
        <v>54</v>
      </c>
      <c r="H763" s="1">
        <v>0.184501845</v>
      </c>
      <c r="I763" s="1">
        <v>0.13653136499999999</v>
      </c>
      <c r="J763" s="1">
        <v>0.188191882</v>
      </c>
      <c r="K763" s="1">
        <v>0.17712177100000001</v>
      </c>
      <c r="L763" s="1">
        <v>0.31365313700000003</v>
      </c>
      <c r="M763" s="1" t="s">
        <v>16</v>
      </c>
      <c r="N763" s="1" t="s">
        <v>17</v>
      </c>
    </row>
    <row r="764" spans="1:14" ht="15.75" customHeight="1">
      <c r="A764" s="1">
        <v>0.85908691800000003</v>
      </c>
      <c r="B764" s="1">
        <v>1090</v>
      </c>
      <c r="C764" s="1">
        <v>21</v>
      </c>
      <c r="D764" s="1">
        <v>4550</v>
      </c>
      <c r="E764" s="1">
        <v>10181</v>
      </c>
      <c r="F764" s="1">
        <v>16623</v>
      </c>
      <c r="G764" s="1" t="s">
        <v>54</v>
      </c>
      <c r="H764" s="1">
        <v>0.21471172999999999</v>
      </c>
      <c r="I764" s="1">
        <v>0.13916501000000001</v>
      </c>
      <c r="J764" s="1">
        <v>0.232604374</v>
      </c>
      <c r="K764" s="1">
        <v>0.166998012</v>
      </c>
      <c r="L764" s="1">
        <v>0.246520875</v>
      </c>
      <c r="M764" s="1" t="s">
        <v>16</v>
      </c>
      <c r="N764" s="1" t="s">
        <v>17</v>
      </c>
    </row>
    <row r="765" spans="1:14" ht="15.75" customHeight="1">
      <c r="A765" s="1">
        <v>0.78504422399999996</v>
      </c>
      <c r="B765" s="1">
        <v>1018</v>
      </c>
      <c r="C765" s="1">
        <v>19</v>
      </c>
      <c r="D765" s="1">
        <v>6588</v>
      </c>
      <c r="E765" s="1">
        <v>9496</v>
      </c>
      <c r="F765" s="1">
        <v>9496</v>
      </c>
      <c r="G765" s="1" t="s">
        <v>54</v>
      </c>
      <c r="H765" s="1">
        <v>0.27769110800000002</v>
      </c>
      <c r="I765" s="1">
        <v>0.176287051</v>
      </c>
      <c r="J765" s="1">
        <v>0.19656786300000001</v>
      </c>
      <c r="K765" s="1">
        <v>0.120124805</v>
      </c>
      <c r="L765" s="1">
        <v>0.229329173</v>
      </c>
      <c r="M765" s="1" t="s">
        <v>16</v>
      </c>
      <c r="N765" s="1" t="s">
        <v>17</v>
      </c>
    </row>
    <row r="766" spans="1:14" ht="15.75" customHeight="1">
      <c r="A766" s="1">
        <v>0.91051172199999997</v>
      </c>
      <c r="B766" s="1">
        <v>1119</v>
      </c>
      <c r="C766" s="1">
        <v>22</v>
      </c>
      <c r="D766" s="1">
        <v>13407</v>
      </c>
      <c r="E766" s="1">
        <v>9024</v>
      </c>
      <c r="F766" s="1">
        <v>17928</v>
      </c>
      <c r="G766" s="1" t="s">
        <v>54</v>
      </c>
      <c r="H766" s="1">
        <v>0.14387556700000001</v>
      </c>
      <c r="I766" s="1">
        <v>9.5268957000000001E-2</v>
      </c>
      <c r="J766" s="1">
        <v>0.128321452</v>
      </c>
      <c r="K766" s="1">
        <v>0.18211276700000001</v>
      </c>
      <c r="L766" s="1">
        <v>0.45042125700000002</v>
      </c>
      <c r="M766" s="1" t="s">
        <v>16</v>
      </c>
      <c r="N766" s="1" t="s">
        <v>17</v>
      </c>
    </row>
    <row r="767" spans="1:14" ht="15.75" customHeight="1">
      <c r="A767" s="1">
        <v>0.89895255699999999</v>
      </c>
      <c r="B767" s="1">
        <v>1126</v>
      </c>
      <c r="C767" s="1">
        <v>22</v>
      </c>
      <c r="D767" s="1">
        <v>1428</v>
      </c>
      <c r="E767" s="1">
        <v>8050</v>
      </c>
      <c r="F767" s="1">
        <v>24730</v>
      </c>
      <c r="G767" s="1" t="s">
        <v>54</v>
      </c>
      <c r="H767" s="1">
        <v>0.16666666699999999</v>
      </c>
      <c r="I767" s="1">
        <v>0.137681159</v>
      </c>
      <c r="J767" s="1">
        <v>0.16666666699999999</v>
      </c>
      <c r="K767" s="1">
        <v>0.17391304299999999</v>
      </c>
      <c r="L767" s="1">
        <v>0.35507246399999998</v>
      </c>
      <c r="M767" s="1" t="s">
        <v>16</v>
      </c>
      <c r="N767" s="1" t="s">
        <v>17</v>
      </c>
    </row>
    <row r="768" spans="1:14" ht="15.75" customHeight="1">
      <c r="A768" s="1">
        <v>0.86830489200000005</v>
      </c>
      <c r="B768" s="1">
        <v>1154</v>
      </c>
      <c r="C768" s="1">
        <v>23</v>
      </c>
      <c r="D768" s="1">
        <v>14472</v>
      </c>
      <c r="E768" s="1">
        <v>8083</v>
      </c>
      <c r="F768" s="1">
        <v>31337</v>
      </c>
      <c r="G768" s="1" t="s">
        <v>54</v>
      </c>
      <c r="H768" s="1">
        <v>0.19185059400000001</v>
      </c>
      <c r="I768" s="1">
        <v>0.185059423</v>
      </c>
      <c r="J768" s="1">
        <v>0.17317487300000001</v>
      </c>
      <c r="K768" s="1">
        <v>0.151103565</v>
      </c>
      <c r="L768" s="1">
        <v>0.29881154500000001</v>
      </c>
      <c r="M768" s="1" t="s">
        <v>16</v>
      </c>
      <c r="N768" s="1" t="s">
        <v>17</v>
      </c>
    </row>
    <row r="769" spans="1:14" ht="15.75" customHeight="1">
      <c r="A769" s="1">
        <v>0.95604395600000003</v>
      </c>
      <c r="B769" s="1">
        <v>1190</v>
      </c>
      <c r="C769" s="1">
        <v>24</v>
      </c>
      <c r="D769" s="1">
        <v>7079</v>
      </c>
      <c r="E769" s="1">
        <v>8152</v>
      </c>
      <c r="F769" s="1">
        <v>31622</v>
      </c>
      <c r="G769" s="1" t="s">
        <v>54</v>
      </c>
      <c r="H769" s="1">
        <v>0.335185185</v>
      </c>
      <c r="I769" s="1">
        <v>0.14444444400000001</v>
      </c>
      <c r="J769" s="1">
        <v>0.17222222200000001</v>
      </c>
      <c r="K769" s="1">
        <v>0.14444444400000001</v>
      </c>
      <c r="L769" s="1">
        <v>0.20370370400000001</v>
      </c>
      <c r="M769" s="1" t="s">
        <v>16</v>
      </c>
      <c r="N769" s="1" t="s">
        <v>17</v>
      </c>
    </row>
    <row r="770" spans="1:14" ht="15.75" customHeight="1">
      <c r="A770" s="1">
        <v>0.85785192300000002</v>
      </c>
      <c r="B770" s="1">
        <v>1089</v>
      </c>
      <c r="C770" s="1">
        <v>21</v>
      </c>
      <c r="D770" s="1">
        <v>4130</v>
      </c>
      <c r="E770" s="1">
        <v>8302</v>
      </c>
      <c r="F770" s="1">
        <v>14260</v>
      </c>
      <c r="G770" s="1" t="s">
        <v>54</v>
      </c>
      <c r="H770" s="1">
        <v>0.2</v>
      </c>
      <c r="I770" s="1">
        <v>0.14782608699999999</v>
      </c>
      <c r="J770" s="1">
        <v>0.19347826100000001</v>
      </c>
      <c r="K770" s="1">
        <v>0.22608695700000001</v>
      </c>
      <c r="L770" s="1">
        <v>0.232608696</v>
      </c>
      <c r="M770" s="1" t="s">
        <v>16</v>
      </c>
      <c r="N770" s="1" t="s">
        <v>17</v>
      </c>
    </row>
    <row r="771" spans="1:14" ht="15.75" customHeight="1">
      <c r="A771" s="1">
        <v>0.86904641500000002</v>
      </c>
      <c r="B771" s="1">
        <v>1120</v>
      </c>
      <c r="C771" s="1">
        <v>22</v>
      </c>
      <c r="D771" s="1">
        <v>11573</v>
      </c>
      <c r="E771" s="1">
        <v>8370</v>
      </c>
      <c r="F771" s="1">
        <v>22358</v>
      </c>
      <c r="G771" s="1" t="s">
        <v>54</v>
      </c>
      <c r="H771" s="1">
        <v>0.26432078599999997</v>
      </c>
      <c r="I771" s="1">
        <v>0.208674304</v>
      </c>
      <c r="J771" s="1">
        <v>0.21522094899999999</v>
      </c>
      <c r="K771" s="1">
        <v>0.123567921</v>
      </c>
      <c r="L771" s="1">
        <v>0.188216039</v>
      </c>
      <c r="M771" s="1" t="s">
        <v>16</v>
      </c>
      <c r="N771" s="1" t="s">
        <v>17</v>
      </c>
    </row>
    <row r="772" spans="1:14" ht="15.75" customHeight="1">
      <c r="A772" s="1">
        <v>0.77073117599999996</v>
      </c>
      <c r="B772" s="1">
        <v>1191</v>
      </c>
      <c r="C772" s="1">
        <v>24</v>
      </c>
      <c r="D772" s="1">
        <v>18887</v>
      </c>
      <c r="E772" s="1">
        <v>10108</v>
      </c>
      <c r="F772" s="1">
        <v>27748</v>
      </c>
      <c r="G772" s="1" t="s">
        <v>54</v>
      </c>
      <c r="H772" s="1">
        <v>0.16141100999999999</v>
      </c>
      <c r="I772" s="1">
        <v>0.139497595</v>
      </c>
      <c r="J772" s="1">
        <v>0.19615178999999999</v>
      </c>
      <c r="K772" s="1">
        <v>0.149652592</v>
      </c>
      <c r="L772" s="1">
        <v>0.35328701200000001</v>
      </c>
      <c r="M772" s="1" t="s">
        <v>16</v>
      </c>
      <c r="N772" s="1" t="s">
        <v>17</v>
      </c>
    </row>
    <row r="773" spans="1:14" ht="15.75" customHeight="1">
      <c r="A773" s="1">
        <v>0.96255722700000002</v>
      </c>
      <c r="B773" s="1">
        <v>1091</v>
      </c>
      <c r="C773" s="1">
        <v>21</v>
      </c>
      <c r="D773" s="1">
        <v>24131</v>
      </c>
      <c r="E773" s="1">
        <v>9142</v>
      </c>
      <c r="F773" s="1">
        <v>26098</v>
      </c>
      <c r="G773" s="1" t="s">
        <v>54</v>
      </c>
      <c r="H773" s="1">
        <v>0.354108957</v>
      </c>
      <c r="I773" s="1">
        <v>0.23730378599999999</v>
      </c>
      <c r="J773" s="1">
        <v>0.22345337000000001</v>
      </c>
      <c r="K773" s="1">
        <v>8.8180979000000007E-2</v>
      </c>
      <c r="L773" s="1">
        <v>9.6952909000000004E-2</v>
      </c>
      <c r="M773" s="1" t="s">
        <v>16</v>
      </c>
      <c r="N773" s="1" t="s">
        <v>17</v>
      </c>
    </row>
    <row r="774" spans="1:14" ht="15.75" customHeight="1">
      <c r="A774" s="1">
        <v>0.86878272300000003</v>
      </c>
      <c r="B774" s="1">
        <v>1229</v>
      </c>
      <c r="C774" s="1">
        <v>29</v>
      </c>
      <c r="D774" s="1">
        <v>11230</v>
      </c>
      <c r="E774" s="1">
        <v>19112</v>
      </c>
      <c r="F774" s="1">
        <v>38882</v>
      </c>
      <c r="G774" s="1" t="s">
        <v>54</v>
      </c>
      <c r="H774" s="1">
        <v>0.104565538</v>
      </c>
      <c r="I774" s="1">
        <v>0.10603829200000001</v>
      </c>
      <c r="J774" s="1">
        <v>0.14432989700000001</v>
      </c>
      <c r="K774" s="1">
        <v>0.18409425600000001</v>
      </c>
      <c r="L774" s="1">
        <v>0.46097201799999998</v>
      </c>
      <c r="M774" s="1" t="s">
        <v>16</v>
      </c>
      <c r="N774" s="1" t="s">
        <v>17</v>
      </c>
    </row>
    <row r="775" spans="1:14" ht="15.75" customHeight="1">
      <c r="A775" s="1">
        <v>0.778217932</v>
      </c>
      <c r="B775" s="1">
        <v>1216</v>
      </c>
      <c r="C775" s="1">
        <v>28</v>
      </c>
      <c r="D775" s="1">
        <v>14647</v>
      </c>
      <c r="E775" s="1">
        <v>15700</v>
      </c>
      <c r="F775" s="1">
        <v>25564</v>
      </c>
      <c r="G775" s="1" t="s">
        <v>54</v>
      </c>
      <c r="H775" s="1">
        <v>0.235621521</v>
      </c>
      <c r="I775" s="1">
        <v>0.15089672200000001</v>
      </c>
      <c r="J775" s="1">
        <v>0.14223871399999999</v>
      </c>
      <c r="K775" s="1">
        <v>0.130488559</v>
      </c>
      <c r="L775" s="1">
        <v>0.34075448400000002</v>
      </c>
      <c r="M775" s="1" t="s">
        <v>16</v>
      </c>
      <c r="N775" s="1" t="s">
        <v>17</v>
      </c>
    </row>
    <row r="776" spans="1:14" ht="15.75" customHeight="1">
      <c r="A776" s="1">
        <v>0.73215940700000004</v>
      </c>
      <c r="B776" s="1">
        <v>1190</v>
      </c>
      <c r="C776" s="1">
        <v>24</v>
      </c>
      <c r="D776" s="1">
        <v>4664</v>
      </c>
      <c r="E776" s="1">
        <v>15978</v>
      </c>
      <c r="F776" s="1">
        <v>26388</v>
      </c>
      <c r="G776" s="1" t="s">
        <v>54</v>
      </c>
      <c r="H776" s="1">
        <v>0.186612576</v>
      </c>
      <c r="I776" s="1">
        <v>0.125760649</v>
      </c>
      <c r="J776" s="1">
        <v>0.16430020300000001</v>
      </c>
      <c r="K776" s="1">
        <v>0.13995943199999999</v>
      </c>
      <c r="L776" s="1">
        <v>0.38336714</v>
      </c>
      <c r="M776" s="1" t="s">
        <v>16</v>
      </c>
      <c r="N776" s="1" t="s">
        <v>17</v>
      </c>
    </row>
    <row r="777" spans="1:14" ht="15.75" customHeight="1">
      <c r="A777" s="1">
        <v>0.88166630999999995</v>
      </c>
      <c r="B777" s="1">
        <v>1171</v>
      </c>
      <c r="C777" s="1">
        <v>24</v>
      </c>
      <c r="D777" s="1">
        <v>7770</v>
      </c>
      <c r="E777" s="1">
        <v>15532</v>
      </c>
      <c r="F777" s="1">
        <v>23420</v>
      </c>
      <c r="G777" s="1" t="s">
        <v>54</v>
      </c>
      <c r="H777" s="1">
        <v>0.25559380399999998</v>
      </c>
      <c r="I777" s="1">
        <v>0.179862306</v>
      </c>
      <c r="J777" s="1">
        <v>0.180722892</v>
      </c>
      <c r="K777" s="1">
        <v>9.8106712999999998E-2</v>
      </c>
      <c r="L777" s="1">
        <v>0.28571428599999998</v>
      </c>
      <c r="M777" s="1" t="s">
        <v>16</v>
      </c>
      <c r="N777" s="1" t="s">
        <v>17</v>
      </c>
    </row>
    <row r="778" spans="1:14" ht="15.75" customHeight="1">
      <c r="A778" s="1">
        <v>0.62144326400000005</v>
      </c>
      <c r="B778" s="1">
        <v>1247</v>
      </c>
      <c r="C778" s="1">
        <v>28</v>
      </c>
      <c r="D778" s="1">
        <v>6831</v>
      </c>
      <c r="E778" s="1">
        <v>18685</v>
      </c>
      <c r="F778" s="1">
        <v>24568</v>
      </c>
      <c r="G778" s="1" t="s">
        <v>54</v>
      </c>
      <c r="H778" s="1">
        <v>0.16793066100000001</v>
      </c>
      <c r="I778" s="1">
        <v>0.12459371599999999</v>
      </c>
      <c r="J778" s="1">
        <v>0.112676056</v>
      </c>
      <c r="K778" s="1">
        <v>0.118093174</v>
      </c>
      <c r="L778" s="1">
        <v>0.47670639199999998</v>
      </c>
      <c r="M778" s="1" t="s">
        <v>16</v>
      </c>
      <c r="N778" s="1" t="s">
        <v>17</v>
      </c>
    </row>
    <row r="779" spans="1:14" ht="15.75" customHeight="1">
      <c r="A779" s="1">
        <v>0.54916067099999999</v>
      </c>
      <c r="B779" s="1">
        <v>965</v>
      </c>
      <c r="C779" s="1">
        <v>18</v>
      </c>
      <c r="D779" s="1">
        <v>3186</v>
      </c>
      <c r="E779" s="1">
        <v>6863</v>
      </c>
      <c r="F779" s="1">
        <v>8843</v>
      </c>
      <c r="G779" s="1" t="s">
        <v>54</v>
      </c>
      <c r="H779" s="1">
        <v>0.39613526599999999</v>
      </c>
      <c r="I779" s="1">
        <v>0.285024155</v>
      </c>
      <c r="J779" s="1">
        <v>0.16425120800000001</v>
      </c>
      <c r="K779" s="1">
        <v>9.1787439999999998E-2</v>
      </c>
      <c r="L779" s="1">
        <v>6.2801932000000005E-2</v>
      </c>
      <c r="M779" s="1" t="s">
        <v>16</v>
      </c>
      <c r="N779" s="1" t="s">
        <v>17</v>
      </c>
    </row>
    <row r="780" spans="1:14" ht="15.75" customHeight="1">
      <c r="A780" s="1">
        <v>0.53956834499999995</v>
      </c>
      <c r="B780" s="1">
        <v>1182</v>
      </c>
      <c r="C780" s="1">
        <v>24</v>
      </c>
      <c r="D780" s="1">
        <v>1122</v>
      </c>
      <c r="E780" s="1">
        <v>9058</v>
      </c>
      <c r="F780" s="1">
        <v>26312</v>
      </c>
      <c r="G780" s="1" t="s">
        <v>54</v>
      </c>
      <c r="H780" s="1">
        <v>0.235955056</v>
      </c>
      <c r="I780" s="1">
        <v>0.20224719099999999</v>
      </c>
      <c r="J780" s="1">
        <v>0.14606741600000001</v>
      </c>
      <c r="K780" s="1">
        <v>0.12921348299999999</v>
      </c>
      <c r="L780" s="1">
        <v>0.28651685399999999</v>
      </c>
      <c r="M780" s="1" t="s">
        <v>16</v>
      </c>
      <c r="N780" s="1" t="s">
        <v>17</v>
      </c>
    </row>
    <row r="781" spans="1:14" ht="15.75" customHeight="1">
      <c r="A781" s="1">
        <v>0.95452080299999997</v>
      </c>
      <c r="B781" s="1">
        <v>1047</v>
      </c>
      <c r="C781" s="1">
        <v>22</v>
      </c>
      <c r="D781" s="1">
        <v>16686</v>
      </c>
      <c r="E781" s="1">
        <v>8115</v>
      </c>
      <c r="F781" s="1">
        <v>26450</v>
      </c>
      <c r="G781" s="1" t="s">
        <v>54</v>
      </c>
      <c r="H781" s="1">
        <v>0.27768860400000001</v>
      </c>
      <c r="I781" s="1">
        <v>0.20438737300000001</v>
      </c>
      <c r="J781" s="1">
        <v>0.165329053</v>
      </c>
      <c r="K781" s="1">
        <v>0.124665597</v>
      </c>
      <c r="L781" s="1">
        <v>0.22792937399999999</v>
      </c>
      <c r="M781" s="1" t="s">
        <v>16</v>
      </c>
      <c r="N781" s="1" t="s">
        <v>17</v>
      </c>
    </row>
    <row r="782" spans="1:14" ht="15.75" customHeight="1">
      <c r="A782" s="1">
        <v>0.75725281200000005</v>
      </c>
      <c r="B782" s="1">
        <v>1004</v>
      </c>
      <c r="C782" s="1">
        <v>20</v>
      </c>
      <c r="D782" s="1">
        <v>11561</v>
      </c>
      <c r="E782" s="1">
        <v>8147</v>
      </c>
      <c r="F782" s="1">
        <v>25271</v>
      </c>
      <c r="G782" s="1" t="s">
        <v>54</v>
      </c>
      <c r="H782" s="1">
        <v>0.41570680599999998</v>
      </c>
      <c r="I782" s="1">
        <v>0.25654450299999998</v>
      </c>
      <c r="J782" s="1">
        <v>0.15287958099999999</v>
      </c>
      <c r="K782" s="1">
        <v>8.5863874000000007E-2</v>
      </c>
      <c r="L782" s="1">
        <v>8.9005236000000001E-2</v>
      </c>
      <c r="M782" s="1" t="s">
        <v>16</v>
      </c>
      <c r="N782" s="1" t="s">
        <v>17</v>
      </c>
    </row>
    <row r="783" spans="1:14" ht="15.75" customHeight="1">
      <c r="A783" s="1">
        <v>0.81745120599999999</v>
      </c>
      <c r="B783" s="1">
        <v>1059</v>
      </c>
      <c r="C783" s="1">
        <v>20</v>
      </c>
      <c r="D783" s="1">
        <v>3510</v>
      </c>
      <c r="E783" s="1">
        <v>8862</v>
      </c>
      <c r="F783" s="1">
        <v>16367</v>
      </c>
      <c r="G783" s="1" t="s">
        <v>54</v>
      </c>
      <c r="H783" s="1">
        <v>0.28407643300000002</v>
      </c>
      <c r="I783" s="1">
        <v>0.18216560500000001</v>
      </c>
      <c r="J783" s="1">
        <v>0.179617834</v>
      </c>
      <c r="K783" s="1">
        <v>0.14012738899999999</v>
      </c>
      <c r="L783" s="1">
        <v>0.21401273900000001</v>
      </c>
      <c r="M783" s="1" t="s">
        <v>16</v>
      </c>
      <c r="N783" s="1" t="s">
        <v>17</v>
      </c>
    </row>
    <row r="784" spans="1:14" ht="15.75" customHeight="1">
      <c r="A784" s="1">
        <v>0.69116869400000003</v>
      </c>
      <c r="B784" s="1">
        <v>1104</v>
      </c>
      <c r="C784" s="1">
        <v>23</v>
      </c>
      <c r="D784" s="1">
        <v>9117</v>
      </c>
      <c r="E784" s="1">
        <v>8576</v>
      </c>
      <c r="F784" s="1">
        <v>18486</v>
      </c>
      <c r="G784" s="1" t="s">
        <v>54</v>
      </c>
      <c r="H784" s="1">
        <v>0.294387171</v>
      </c>
      <c r="I784" s="1">
        <v>0.21420389500000001</v>
      </c>
      <c r="J784" s="1">
        <v>0.16953035499999999</v>
      </c>
      <c r="K784" s="1">
        <v>0.128293242</v>
      </c>
      <c r="L784" s="1">
        <v>0.193585338</v>
      </c>
      <c r="M784" s="1" t="s">
        <v>16</v>
      </c>
      <c r="N784" s="1" t="s">
        <v>17</v>
      </c>
    </row>
    <row r="785" spans="1:14" ht="15.75" customHeight="1">
      <c r="A785" s="1">
        <v>0.78444084300000005</v>
      </c>
      <c r="B785" s="1">
        <v>1248</v>
      </c>
      <c r="C785" s="1">
        <v>25</v>
      </c>
      <c r="D785" s="1">
        <v>1773</v>
      </c>
      <c r="E785" s="1">
        <v>8578</v>
      </c>
      <c r="F785" s="1">
        <v>20228</v>
      </c>
      <c r="G785" s="1" t="s">
        <v>54</v>
      </c>
      <c r="H785" s="1">
        <v>0.25847457600000001</v>
      </c>
      <c r="I785" s="1">
        <v>0.169491525</v>
      </c>
      <c r="J785" s="1">
        <v>0.13559321999999999</v>
      </c>
      <c r="K785" s="1">
        <v>0.17796610199999999</v>
      </c>
      <c r="L785" s="1">
        <v>0.25847457600000001</v>
      </c>
      <c r="M785" s="1" t="s">
        <v>16</v>
      </c>
      <c r="N785" s="1" t="s">
        <v>17</v>
      </c>
    </row>
    <row r="786" spans="1:14" ht="15.75" customHeight="1">
      <c r="A786" s="1">
        <v>0.71285122099999998</v>
      </c>
      <c r="B786" s="1">
        <v>1147</v>
      </c>
      <c r="C786" s="1">
        <v>22</v>
      </c>
      <c r="D786" s="1">
        <v>5381</v>
      </c>
      <c r="E786" s="1">
        <v>8678</v>
      </c>
      <c r="F786" s="1">
        <v>15748</v>
      </c>
      <c r="G786" s="1" t="s">
        <v>54</v>
      </c>
      <c r="H786" s="1">
        <v>0.21815888999999999</v>
      </c>
      <c r="I786" s="1">
        <v>0.174022699</v>
      </c>
      <c r="J786" s="1">
        <v>0.18537200500000001</v>
      </c>
      <c r="K786" s="1">
        <v>0.13997477899999999</v>
      </c>
      <c r="L786" s="1">
        <v>0.282471627</v>
      </c>
      <c r="M786" s="1" t="s">
        <v>16</v>
      </c>
      <c r="N786" s="1" t="s">
        <v>17</v>
      </c>
    </row>
    <row r="787" spans="1:14" ht="15.75" customHeight="1">
      <c r="A787" s="1">
        <v>0.79195421600000004</v>
      </c>
      <c r="B787" s="1">
        <v>1213</v>
      </c>
      <c r="C787" s="1">
        <v>25</v>
      </c>
      <c r="D787" s="1">
        <v>2860</v>
      </c>
      <c r="E787" s="1">
        <v>8771</v>
      </c>
      <c r="F787" s="1">
        <v>19191</v>
      </c>
      <c r="G787" s="1" t="s">
        <v>54</v>
      </c>
      <c r="H787" s="1">
        <v>0.18081180799999999</v>
      </c>
      <c r="I787" s="1">
        <v>0.13837638399999999</v>
      </c>
      <c r="J787" s="1">
        <v>0.188191882</v>
      </c>
      <c r="K787" s="1">
        <v>0.197416974</v>
      </c>
      <c r="L787" s="1">
        <v>0.29520295200000002</v>
      </c>
      <c r="M787" s="1" t="s">
        <v>16</v>
      </c>
      <c r="N787" s="1" t="s">
        <v>17</v>
      </c>
    </row>
    <row r="788" spans="1:14" ht="15.75" customHeight="1">
      <c r="A788" s="1">
        <v>0.63528451699999999</v>
      </c>
      <c r="B788" s="1">
        <v>1296</v>
      </c>
      <c r="C788" s="1">
        <v>29</v>
      </c>
      <c r="D788" s="1">
        <v>3855</v>
      </c>
      <c r="E788" s="1">
        <v>8966</v>
      </c>
      <c r="F788" s="1">
        <v>19206</v>
      </c>
      <c r="G788" s="1" t="s">
        <v>54</v>
      </c>
      <c r="H788" s="1">
        <v>0.14457831300000001</v>
      </c>
      <c r="I788" s="1">
        <v>9.9827883000000006E-2</v>
      </c>
      <c r="J788" s="1">
        <v>0.13769363200000001</v>
      </c>
      <c r="K788" s="1">
        <v>0.211703959</v>
      </c>
      <c r="L788" s="1">
        <v>0.40619621299999997</v>
      </c>
      <c r="M788" s="1" t="s">
        <v>16</v>
      </c>
      <c r="N788" s="1" t="s">
        <v>17</v>
      </c>
    </row>
    <row r="789" spans="1:14" ht="15.75" customHeight="1">
      <c r="A789" s="1">
        <v>0.586989969</v>
      </c>
      <c r="B789" s="1">
        <v>1267</v>
      </c>
      <c r="C789" s="1">
        <v>27</v>
      </c>
      <c r="D789" s="1">
        <v>6022</v>
      </c>
      <c r="E789" s="1">
        <v>8524</v>
      </c>
      <c r="F789" s="1">
        <v>18434</v>
      </c>
      <c r="G789" s="1" t="s">
        <v>54</v>
      </c>
      <c r="H789" s="1">
        <v>0.26231691099999999</v>
      </c>
      <c r="I789" s="1">
        <v>0.14647137199999999</v>
      </c>
      <c r="J789" s="1">
        <v>0.14114514</v>
      </c>
      <c r="K789" s="1">
        <v>0.14913448700000001</v>
      </c>
      <c r="L789" s="1">
        <v>0.30093209100000001</v>
      </c>
      <c r="M789" s="1" t="s">
        <v>16</v>
      </c>
      <c r="N789" s="1" t="s">
        <v>17</v>
      </c>
    </row>
    <row r="790" spans="1:14" ht="15.75" customHeight="1">
      <c r="A790" s="1">
        <v>0.70153733500000004</v>
      </c>
      <c r="B790" s="1">
        <v>1181</v>
      </c>
      <c r="C790" s="1">
        <v>25</v>
      </c>
      <c r="D790" s="1">
        <v>4820</v>
      </c>
      <c r="E790" s="1">
        <v>8812</v>
      </c>
      <c r="F790" s="1">
        <v>19232</v>
      </c>
      <c r="G790" s="1" t="s">
        <v>54</v>
      </c>
      <c r="H790" s="1">
        <v>0.22433460099999999</v>
      </c>
      <c r="I790" s="1">
        <v>0.116603295</v>
      </c>
      <c r="J790" s="1">
        <v>0.15842839</v>
      </c>
      <c r="K790" s="1">
        <v>0.16349809900000001</v>
      </c>
      <c r="L790" s="1">
        <v>0.337135615</v>
      </c>
      <c r="M790" s="1" t="s">
        <v>16</v>
      </c>
      <c r="N790" s="1" t="s">
        <v>17</v>
      </c>
    </row>
    <row r="791" spans="1:14" ht="15.75" customHeight="1">
      <c r="A791" s="1">
        <v>0.80394054599999998</v>
      </c>
      <c r="B791" s="1">
        <v>1177</v>
      </c>
      <c r="C791" s="1">
        <v>26</v>
      </c>
      <c r="D791" s="1">
        <v>5618</v>
      </c>
      <c r="E791" s="1">
        <v>8769</v>
      </c>
      <c r="F791" s="1">
        <v>18679</v>
      </c>
      <c r="G791" s="1" t="s">
        <v>54</v>
      </c>
      <c r="H791" s="1">
        <v>0.240039841</v>
      </c>
      <c r="I791" s="1">
        <v>0.16235059800000001</v>
      </c>
      <c r="J791" s="1">
        <v>0.14741035899999999</v>
      </c>
      <c r="K791" s="1">
        <v>0.16235059800000001</v>
      </c>
      <c r="L791" s="1">
        <v>0.28784860600000001</v>
      </c>
      <c r="M791" s="1" t="s">
        <v>16</v>
      </c>
      <c r="N791" s="1" t="s">
        <v>17</v>
      </c>
    </row>
    <row r="792" spans="1:14" ht="15.75" customHeight="1">
      <c r="A792" s="1">
        <v>0.72829248000000002</v>
      </c>
      <c r="B792" s="1">
        <v>1277</v>
      </c>
      <c r="C792" s="1">
        <v>28</v>
      </c>
      <c r="D792" s="1">
        <v>3110</v>
      </c>
      <c r="E792" s="1">
        <v>8953</v>
      </c>
      <c r="F792" s="1">
        <v>18863</v>
      </c>
      <c r="G792" s="1" t="s">
        <v>54</v>
      </c>
      <c r="H792" s="1">
        <v>0.294736842</v>
      </c>
      <c r="I792" s="1">
        <v>0.15789473700000001</v>
      </c>
      <c r="J792" s="1">
        <v>0.17105263200000001</v>
      </c>
      <c r="K792" s="1">
        <v>0.15</v>
      </c>
      <c r="L792" s="1">
        <v>0.22631578899999999</v>
      </c>
      <c r="M792" s="1" t="s">
        <v>16</v>
      </c>
      <c r="N792" s="1" t="s">
        <v>17</v>
      </c>
    </row>
    <row r="793" spans="1:14" ht="15.75" customHeight="1">
      <c r="A793" s="1">
        <v>0.78514426000000004</v>
      </c>
      <c r="B793" s="1">
        <v>1199</v>
      </c>
      <c r="C793" s="1">
        <v>24</v>
      </c>
      <c r="D793" s="1">
        <v>1242</v>
      </c>
      <c r="E793" s="1">
        <v>8540</v>
      </c>
      <c r="F793" s="1">
        <v>18450</v>
      </c>
      <c r="G793" s="1" t="s">
        <v>54</v>
      </c>
      <c r="H793" s="1">
        <v>0.18656716400000001</v>
      </c>
      <c r="I793" s="1">
        <v>8.2089551999999996E-2</v>
      </c>
      <c r="J793" s="1">
        <v>0.104477612</v>
      </c>
      <c r="K793" s="1">
        <v>0.21641790999999999</v>
      </c>
      <c r="L793" s="1">
        <v>0.41044776100000002</v>
      </c>
      <c r="M793" s="1" t="s">
        <v>16</v>
      </c>
      <c r="N793" s="1" t="s">
        <v>17</v>
      </c>
    </row>
    <row r="794" spans="1:14" ht="15.75" customHeight="1">
      <c r="A794" s="1">
        <v>0.32471264399999999</v>
      </c>
      <c r="B794" s="1">
        <v>1226</v>
      </c>
      <c r="C794" s="1">
        <v>25</v>
      </c>
      <c r="D794" s="1">
        <v>947</v>
      </c>
      <c r="E794" s="1">
        <v>945</v>
      </c>
      <c r="F794" s="1">
        <v>945</v>
      </c>
      <c r="G794" s="1" t="s">
        <v>54</v>
      </c>
      <c r="H794" s="1">
        <v>0.2</v>
      </c>
      <c r="I794" s="1">
        <v>0.1</v>
      </c>
      <c r="J794" s="1">
        <v>0.233333333</v>
      </c>
      <c r="K794" s="1">
        <v>0.16666666699999999</v>
      </c>
      <c r="L794" s="1">
        <v>0.3</v>
      </c>
      <c r="M794" s="1" t="s">
        <v>16</v>
      </c>
      <c r="N794" s="1" t="s">
        <v>17</v>
      </c>
    </row>
    <row r="795" spans="1:14" ht="15.75" customHeight="1">
      <c r="A795" s="1">
        <v>0.88642139900000005</v>
      </c>
      <c r="B795" s="1">
        <v>1187</v>
      </c>
      <c r="C795" s="1">
        <v>24</v>
      </c>
      <c r="D795" s="1">
        <v>19304</v>
      </c>
      <c r="E795" s="1">
        <v>7541</v>
      </c>
      <c r="F795" s="1">
        <v>24537</v>
      </c>
      <c r="G795" s="1" t="s">
        <v>54</v>
      </c>
      <c r="H795" s="1">
        <v>0.20622568099999999</v>
      </c>
      <c r="I795" s="1">
        <v>0.14341300700000001</v>
      </c>
      <c r="J795" s="1">
        <v>0.15842134499999999</v>
      </c>
      <c r="K795" s="1">
        <v>0.172317954</v>
      </c>
      <c r="L795" s="1">
        <v>0.31962201200000001</v>
      </c>
      <c r="M795" s="1" t="s">
        <v>16</v>
      </c>
      <c r="N795" s="1" t="s">
        <v>17</v>
      </c>
    </row>
    <row r="796" spans="1:14" ht="15.75" customHeight="1">
      <c r="A796" s="1">
        <v>0.90057876100000001</v>
      </c>
      <c r="B796" s="1">
        <v>1143</v>
      </c>
      <c r="C796" s="1">
        <v>23</v>
      </c>
      <c r="D796" s="1">
        <v>19857</v>
      </c>
      <c r="E796" s="1">
        <v>7361</v>
      </c>
      <c r="F796" s="1">
        <v>23638</v>
      </c>
      <c r="G796" s="1" t="s">
        <v>54</v>
      </c>
      <c r="H796" s="1">
        <v>0.27359437800000003</v>
      </c>
      <c r="I796" s="1">
        <v>0.17369477899999999</v>
      </c>
      <c r="J796" s="1">
        <v>0.17018072300000001</v>
      </c>
      <c r="K796" s="1">
        <v>0.132028112</v>
      </c>
      <c r="L796" s="1">
        <v>0.250502008</v>
      </c>
      <c r="M796" s="1" t="s">
        <v>16</v>
      </c>
      <c r="N796" s="1" t="s">
        <v>17</v>
      </c>
    </row>
    <row r="797" spans="1:14" ht="15.75" customHeight="1">
      <c r="A797" s="1">
        <v>0.79892920899999997</v>
      </c>
      <c r="B797" s="1">
        <v>972</v>
      </c>
      <c r="C797" s="1">
        <v>18</v>
      </c>
      <c r="D797" s="1">
        <v>5493</v>
      </c>
      <c r="E797" s="1">
        <v>3969</v>
      </c>
      <c r="F797" s="1">
        <v>7969</v>
      </c>
      <c r="G797" s="1" t="s">
        <v>54</v>
      </c>
      <c r="H797" s="1">
        <v>0.43542435400000001</v>
      </c>
      <c r="I797" s="1">
        <v>0.27675276799999998</v>
      </c>
      <c r="J797" s="1">
        <v>0.171586716</v>
      </c>
      <c r="K797" s="1">
        <v>7.3800738000000005E-2</v>
      </c>
      <c r="L797" s="1">
        <v>4.2435423999999999E-2</v>
      </c>
      <c r="M797" s="1" t="s">
        <v>16</v>
      </c>
      <c r="N797" s="1" t="s">
        <v>17</v>
      </c>
    </row>
    <row r="798" spans="1:14" ht="15.75" customHeight="1">
      <c r="A798" s="1">
        <v>0.46173128899999999</v>
      </c>
      <c r="B798" s="1">
        <v>1048</v>
      </c>
      <c r="C798" s="1">
        <v>19</v>
      </c>
      <c r="D798" s="1">
        <v>11925</v>
      </c>
      <c r="E798" s="1">
        <v>6748</v>
      </c>
      <c r="F798" s="1">
        <v>20408</v>
      </c>
      <c r="G798" s="1" t="s">
        <v>54</v>
      </c>
      <c r="H798" s="1">
        <v>0.34671532799999999</v>
      </c>
      <c r="I798" s="1">
        <v>0.23722627700000001</v>
      </c>
      <c r="J798" s="1">
        <v>0.215328467</v>
      </c>
      <c r="K798" s="1">
        <v>0.108759124</v>
      </c>
      <c r="L798" s="1">
        <v>9.1970803000000004E-2</v>
      </c>
      <c r="M798" s="1" t="s">
        <v>16</v>
      </c>
      <c r="N798" s="1" t="s">
        <v>17</v>
      </c>
    </row>
    <row r="799" spans="1:14" ht="15.75" customHeight="1">
      <c r="A799" s="1">
        <v>0.93888380599999999</v>
      </c>
      <c r="B799" s="1">
        <v>1247</v>
      </c>
      <c r="C799" s="1">
        <v>26</v>
      </c>
      <c r="D799" s="1">
        <v>2790</v>
      </c>
      <c r="E799" s="1">
        <v>7461</v>
      </c>
      <c r="F799" s="1">
        <v>24809</v>
      </c>
      <c r="G799" s="1" t="s">
        <v>54</v>
      </c>
      <c r="H799" s="1">
        <v>0.256756757</v>
      </c>
      <c r="I799" s="1">
        <v>0.12612612600000001</v>
      </c>
      <c r="J799" s="1">
        <v>0.15315315299999999</v>
      </c>
      <c r="K799" s="1">
        <v>0.175675676</v>
      </c>
      <c r="L799" s="1">
        <v>0.288288288</v>
      </c>
      <c r="M799" s="1" t="s">
        <v>16</v>
      </c>
      <c r="N799" s="1" t="s">
        <v>17</v>
      </c>
    </row>
    <row r="800" spans="1:14" ht="15.75" customHeight="1">
      <c r="A800" s="1">
        <v>0.80214987400000004</v>
      </c>
      <c r="B800" s="1">
        <v>1202</v>
      </c>
      <c r="C800" s="1">
        <v>24</v>
      </c>
      <c r="D800" s="1">
        <v>23567</v>
      </c>
      <c r="E800" s="1">
        <v>7214</v>
      </c>
      <c r="F800" s="1">
        <v>21876</v>
      </c>
      <c r="G800" s="1" t="s">
        <v>54</v>
      </c>
      <c r="H800" s="1">
        <v>0.22321428600000001</v>
      </c>
      <c r="I800" s="1">
        <v>0.19830827100000001</v>
      </c>
      <c r="J800" s="1">
        <v>0.16729323300000001</v>
      </c>
      <c r="K800" s="1">
        <v>0.13721804500000001</v>
      </c>
      <c r="L800" s="1">
        <v>0.27396616499999998</v>
      </c>
      <c r="M800" s="1" t="s">
        <v>16</v>
      </c>
      <c r="N800" s="1" t="s">
        <v>17</v>
      </c>
    </row>
    <row r="801" spans="1:14" ht="15.75" customHeight="1">
      <c r="A801" s="1">
        <v>0.89829550000000002</v>
      </c>
      <c r="B801" s="1">
        <v>1187</v>
      </c>
      <c r="C801" s="1">
        <v>24</v>
      </c>
      <c r="D801" s="1">
        <v>13848</v>
      </c>
      <c r="E801" s="1">
        <v>7593</v>
      </c>
      <c r="F801" s="1">
        <v>23339</v>
      </c>
      <c r="G801" s="1" t="s">
        <v>54</v>
      </c>
      <c r="H801" s="1">
        <v>0.38403041799999998</v>
      </c>
      <c r="I801" s="1">
        <v>0.21609632400000001</v>
      </c>
      <c r="J801" s="1">
        <v>0.192648923</v>
      </c>
      <c r="K801" s="1">
        <v>9.5057033999999999E-2</v>
      </c>
      <c r="L801" s="1">
        <v>0.1121673</v>
      </c>
      <c r="M801" s="1" t="s">
        <v>16</v>
      </c>
      <c r="N801" s="1" t="s">
        <v>17</v>
      </c>
    </row>
    <row r="802" spans="1:14" ht="15.75" customHeight="1">
      <c r="A802" s="1">
        <v>0.90487598599999997</v>
      </c>
      <c r="B802" s="1">
        <v>1023</v>
      </c>
      <c r="C802" s="1">
        <v>17</v>
      </c>
      <c r="D802" s="1">
        <v>5400</v>
      </c>
      <c r="E802" s="1">
        <v>6542</v>
      </c>
      <c r="F802" s="1">
        <v>19578</v>
      </c>
      <c r="G802" s="1" t="s">
        <v>54</v>
      </c>
      <c r="H802" s="1">
        <v>0.41639344299999997</v>
      </c>
      <c r="I802" s="1">
        <v>0.29016393400000001</v>
      </c>
      <c r="J802" s="1">
        <v>0.17213114800000001</v>
      </c>
      <c r="K802" s="1">
        <v>7.2131148000000006E-2</v>
      </c>
      <c r="L802" s="1">
        <v>4.9180328000000002E-2</v>
      </c>
      <c r="M802" s="1" t="s">
        <v>16</v>
      </c>
      <c r="N802" s="1" t="s">
        <v>17</v>
      </c>
    </row>
    <row r="803" spans="1:14" ht="15.75" customHeight="1">
      <c r="A803" s="1">
        <v>0.330990864</v>
      </c>
      <c r="B803" s="1">
        <v>1250</v>
      </c>
      <c r="C803" s="1">
        <v>26</v>
      </c>
      <c r="D803" s="1">
        <v>902</v>
      </c>
      <c r="E803" s="1">
        <v>9477</v>
      </c>
      <c r="F803" s="1">
        <v>27211</v>
      </c>
      <c r="G803" s="1" t="s">
        <v>54</v>
      </c>
      <c r="H803" s="1">
        <v>0.39655172399999999</v>
      </c>
      <c r="I803" s="1">
        <v>8.6206897000000005E-2</v>
      </c>
      <c r="J803" s="1">
        <v>0.17241379300000001</v>
      </c>
      <c r="K803" s="1">
        <v>0.12068965500000001</v>
      </c>
      <c r="L803" s="1">
        <v>0.22413793100000001</v>
      </c>
      <c r="M803" s="1" t="s">
        <v>16</v>
      </c>
      <c r="N803" s="1" t="s">
        <v>17</v>
      </c>
    </row>
    <row r="804" spans="1:14" ht="15.75" customHeight="1">
      <c r="A804" s="1">
        <v>0.74012665499999997</v>
      </c>
      <c r="B804" s="1">
        <v>1262</v>
      </c>
      <c r="C804" s="1">
        <v>26</v>
      </c>
      <c r="D804" s="1">
        <v>14176</v>
      </c>
      <c r="E804" s="1">
        <v>7317</v>
      </c>
      <c r="F804" s="1">
        <v>22985</v>
      </c>
      <c r="G804" s="1" t="s">
        <v>54</v>
      </c>
      <c r="H804" s="1">
        <v>0.21501014199999999</v>
      </c>
      <c r="I804" s="1">
        <v>0.13184584199999999</v>
      </c>
      <c r="J804" s="1">
        <v>0.14198783000000001</v>
      </c>
      <c r="K804" s="1">
        <v>0.18356997999999999</v>
      </c>
      <c r="L804" s="1">
        <v>0.32758620700000002</v>
      </c>
      <c r="M804" s="1" t="s">
        <v>16</v>
      </c>
      <c r="N804" s="1" t="s">
        <v>17</v>
      </c>
    </row>
    <row r="805" spans="1:14" ht="15.75" customHeight="1">
      <c r="A805" s="1">
        <v>0.68553866100000005</v>
      </c>
      <c r="B805" s="1">
        <v>946</v>
      </c>
      <c r="C805" s="1">
        <v>17</v>
      </c>
      <c r="D805" s="1">
        <v>4244</v>
      </c>
      <c r="E805" s="1">
        <v>6735</v>
      </c>
      <c r="F805" s="1">
        <v>17391</v>
      </c>
      <c r="G805" s="1" t="s">
        <v>54</v>
      </c>
      <c r="H805" s="1">
        <v>0.417322835</v>
      </c>
      <c r="I805" s="1">
        <v>0.28976378000000003</v>
      </c>
      <c r="J805" s="1">
        <v>0.176377953</v>
      </c>
      <c r="K805" s="1">
        <v>6.4566928999999995E-2</v>
      </c>
      <c r="L805" s="1">
        <v>5.1968503999999999E-2</v>
      </c>
      <c r="M805" s="1" t="s">
        <v>16</v>
      </c>
      <c r="N805" s="1" t="s">
        <v>17</v>
      </c>
    </row>
    <row r="806" spans="1:14" ht="15.75" customHeight="1">
      <c r="A806" s="1">
        <v>0.86663366900000005</v>
      </c>
      <c r="B806" s="1">
        <v>1151</v>
      </c>
      <c r="C806" s="1">
        <v>23</v>
      </c>
      <c r="D806" s="1">
        <v>9867</v>
      </c>
      <c r="E806" s="1">
        <v>4532</v>
      </c>
      <c r="F806" s="1">
        <v>8532</v>
      </c>
      <c r="G806" s="1" t="s">
        <v>54</v>
      </c>
      <c r="H806" s="1">
        <v>0.276264591</v>
      </c>
      <c r="I806" s="1">
        <v>0.170233463</v>
      </c>
      <c r="J806" s="1">
        <v>0.208171206</v>
      </c>
      <c r="K806" s="1">
        <v>0.16439688699999999</v>
      </c>
      <c r="L806" s="1">
        <v>0.18093385200000001</v>
      </c>
      <c r="M806" s="1" t="s">
        <v>16</v>
      </c>
      <c r="N806" s="1" t="s">
        <v>17</v>
      </c>
    </row>
    <row r="807" spans="1:14" ht="15.75" customHeight="1">
      <c r="A807" s="1">
        <v>0.722147651</v>
      </c>
      <c r="B807" s="1">
        <v>1084</v>
      </c>
      <c r="C807" s="1">
        <v>21</v>
      </c>
      <c r="D807" s="1">
        <v>2072</v>
      </c>
      <c r="E807" s="1">
        <v>8634</v>
      </c>
      <c r="F807" s="1">
        <v>8634</v>
      </c>
      <c r="G807" s="1" t="s">
        <v>54</v>
      </c>
      <c r="H807" s="1">
        <v>0.20588235299999999</v>
      </c>
      <c r="I807" s="1">
        <v>0.10784313700000001</v>
      </c>
      <c r="J807" s="1">
        <v>0.16176470600000001</v>
      </c>
      <c r="K807" s="1">
        <v>0.16666666699999999</v>
      </c>
      <c r="L807" s="1">
        <v>0.35784313699999998</v>
      </c>
      <c r="M807" s="1" t="s">
        <v>16</v>
      </c>
      <c r="N807" s="1" t="s">
        <v>17</v>
      </c>
    </row>
    <row r="808" spans="1:14" ht="15.75" customHeight="1">
      <c r="A808" s="1">
        <v>0.95812303899999995</v>
      </c>
      <c r="B808" s="1">
        <v>1120</v>
      </c>
      <c r="C808" s="1">
        <v>22</v>
      </c>
      <c r="D808" s="1">
        <v>9567</v>
      </c>
      <c r="E808" s="1">
        <v>10857</v>
      </c>
      <c r="F808" s="1">
        <v>15511</v>
      </c>
      <c r="G808" s="1" t="s">
        <v>54</v>
      </c>
      <c r="H808" s="1">
        <v>0.13111888099999999</v>
      </c>
      <c r="I808" s="1">
        <v>0.120629371</v>
      </c>
      <c r="J808" s="1">
        <v>0.120629371</v>
      </c>
      <c r="K808" s="1">
        <v>0.18531468500000001</v>
      </c>
      <c r="L808" s="1">
        <v>0.44230769199999997</v>
      </c>
      <c r="M808" s="1" t="s">
        <v>16</v>
      </c>
      <c r="N808" s="1" t="s">
        <v>17</v>
      </c>
    </row>
    <row r="809" spans="1:14" ht="15.75" customHeight="1">
      <c r="A809" s="1">
        <v>0.69308943099999998</v>
      </c>
      <c r="B809" s="1">
        <v>1090</v>
      </c>
      <c r="C809" s="1">
        <v>21</v>
      </c>
      <c r="D809" s="1">
        <v>918</v>
      </c>
      <c r="E809" s="1">
        <v>8514</v>
      </c>
      <c r="F809" s="1">
        <v>13478</v>
      </c>
      <c r="G809" s="1" t="s">
        <v>54</v>
      </c>
      <c r="H809" s="1">
        <v>0.14444444400000001</v>
      </c>
      <c r="I809" s="1">
        <v>8.8888888999999999E-2</v>
      </c>
      <c r="J809" s="1">
        <v>0.15555555600000001</v>
      </c>
      <c r="K809" s="1">
        <v>0.233333333</v>
      </c>
      <c r="L809" s="1">
        <v>0.37777777800000001</v>
      </c>
      <c r="M809" s="1" t="s">
        <v>16</v>
      </c>
      <c r="N809" s="1" t="s">
        <v>17</v>
      </c>
    </row>
    <row r="810" spans="1:14" ht="15.75" customHeight="1">
      <c r="A810" s="1">
        <v>0.71102388000000005</v>
      </c>
      <c r="B810" s="1">
        <v>1088</v>
      </c>
      <c r="C810" s="1">
        <v>21</v>
      </c>
      <c r="D810" s="1">
        <v>10011</v>
      </c>
      <c r="E810" s="1">
        <v>12799</v>
      </c>
      <c r="F810" s="1">
        <v>17239</v>
      </c>
      <c r="G810" s="1" t="s">
        <v>54</v>
      </c>
      <c r="H810" s="1">
        <v>0.32779097400000001</v>
      </c>
      <c r="I810" s="1">
        <v>0.168646081</v>
      </c>
      <c r="J810" s="1">
        <v>0.172604909</v>
      </c>
      <c r="K810" s="1">
        <v>0.14726840899999999</v>
      </c>
      <c r="L810" s="1">
        <v>0.18368962799999999</v>
      </c>
      <c r="M810" s="1" t="s">
        <v>16</v>
      </c>
      <c r="N810" s="1" t="s">
        <v>17</v>
      </c>
    </row>
    <row r="811" spans="1:14" ht="15.75" customHeight="1">
      <c r="A811" s="1">
        <v>0.71102388000000005</v>
      </c>
      <c r="B811" s="1">
        <v>1049</v>
      </c>
      <c r="C811" s="1">
        <v>20</v>
      </c>
      <c r="D811" s="1">
        <v>489</v>
      </c>
      <c r="E811" s="1">
        <v>7699</v>
      </c>
      <c r="F811" s="1">
        <v>14372</v>
      </c>
      <c r="G811" s="1" t="s">
        <v>54</v>
      </c>
      <c r="H811" s="1">
        <v>0.38888888900000002</v>
      </c>
      <c r="I811" s="1">
        <v>0.185185185</v>
      </c>
      <c r="J811" s="1">
        <v>0.16666666699999999</v>
      </c>
      <c r="K811" s="1">
        <v>0.14814814800000001</v>
      </c>
      <c r="L811" s="1">
        <v>0.111111111</v>
      </c>
      <c r="M811" s="1" t="s">
        <v>16</v>
      </c>
      <c r="N811" s="1" t="s">
        <v>17</v>
      </c>
    </row>
    <row r="812" spans="1:14" ht="15.75" customHeight="1">
      <c r="A812" s="1">
        <v>0.80605507499999995</v>
      </c>
      <c r="B812" s="1">
        <v>1118</v>
      </c>
      <c r="C812" s="1">
        <v>22</v>
      </c>
      <c r="D812" s="1">
        <v>12255</v>
      </c>
      <c r="E812" s="1">
        <v>14081</v>
      </c>
      <c r="F812" s="1">
        <v>22070</v>
      </c>
      <c r="G812" s="1" t="s">
        <v>54</v>
      </c>
      <c r="H812" s="1">
        <v>0.15732880599999999</v>
      </c>
      <c r="I812" s="1">
        <v>0.123372949</v>
      </c>
      <c r="J812" s="1">
        <v>0.17430673499999999</v>
      </c>
      <c r="K812" s="1">
        <v>0.17600452699999999</v>
      </c>
      <c r="L812" s="1">
        <v>0.36898698400000002</v>
      </c>
      <c r="M812" s="1" t="s">
        <v>16</v>
      </c>
      <c r="N812" s="1" t="s">
        <v>17</v>
      </c>
    </row>
    <row r="813" spans="1:14" ht="15.75" customHeight="1">
      <c r="A813" s="1">
        <v>0.87673752400000005</v>
      </c>
      <c r="B813" s="1">
        <v>1281</v>
      </c>
      <c r="C813" s="1">
        <v>27</v>
      </c>
      <c r="D813" s="1">
        <v>29094</v>
      </c>
      <c r="E813" s="1">
        <v>13570</v>
      </c>
      <c r="F813" s="1">
        <v>30582</v>
      </c>
      <c r="G813" s="1" t="s">
        <v>54</v>
      </c>
      <c r="H813" s="1">
        <v>0.122510561</v>
      </c>
      <c r="I813" s="1">
        <v>9.9275799999999997E-2</v>
      </c>
      <c r="J813" s="1">
        <v>0.131864816</v>
      </c>
      <c r="K813" s="1">
        <v>0.16626433299999999</v>
      </c>
      <c r="L813" s="1">
        <v>0.48008448999999997</v>
      </c>
      <c r="M813" s="1" t="s">
        <v>16</v>
      </c>
      <c r="N813" s="1" t="s">
        <v>17</v>
      </c>
    </row>
    <row r="814" spans="1:14" ht="15.75" customHeight="1">
      <c r="A814" s="1">
        <v>0.95483745399999997</v>
      </c>
      <c r="B814" s="1">
        <v>980</v>
      </c>
      <c r="C814" s="1">
        <v>18</v>
      </c>
      <c r="D814" s="1">
        <v>9077</v>
      </c>
      <c r="E814" s="1">
        <v>12613</v>
      </c>
      <c r="F814" s="1">
        <v>17973</v>
      </c>
      <c r="G814" s="1" t="s">
        <v>54</v>
      </c>
      <c r="H814" s="1">
        <v>0.356152513</v>
      </c>
      <c r="I814" s="1">
        <v>0.20103986099999999</v>
      </c>
      <c r="J814" s="1">
        <v>0.170710572</v>
      </c>
      <c r="K814" s="1">
        <v>0.123916811</v>
      </c>
      <c r="L814" s="1">
        <v>0.14818024299999999</v>
      </c>
      <c r="M814" s="1" t="s">
        <v>16</v>
      </c>
      <c r="N814" s="1" t="s">
        <v>17</v>
      </c>
    </row>
    <row r="815" spans="1:14" ht="15.75" customHeight="1">
      <c r="A815" s="1">
        <v>0.86648781600000002</v>
      </c>
      <c r="B815" s="1">
        <v>1095</v>
      </c>
      <c r="C815" s="1">
        <v>21</v>
      </c>
      <c r="D815" s="1">
        <v>19134</v>
      </c>
      <c r="E815" s="1">
        <v>12846</v>
      </c>
      <c r="F815" s="1">
        <v>22316</v>
      </c>
      <c r="G815" s="1" t="s">
        <v>54</v>
      </c>
      <c r="H815" s="1">
        <v>0.17516722400000001</v>
      </c>
      <c r="I815" s="1">
        <v>0.15008361200000001</v>
      </c>
      <c r="J815" s="1">
        <v>0.193561873</v>
      </c>
      <c r="K815" s="1">
        <v>0.17474916400000001</v>
      </c>
      <c r="L815" s="1">
        <v>0.306438127</v>
      </c>
      <c r="M815" s="1" t="s">
        <v>16</v>
      </c>
      <c r="N815" s="1" t="s">
        <v>17</v>
      </c>
    </row>
    <row r="816" spans="1:14" ht="15.75" customHeight="1">
      <c r="A816" s="1">
        <v>0.820888167</v>
      </c>
      <c r="B816" s="1">
        <v>1313</v>
      </c>
      <c r="C816" s="1">
        <v>28</v>
      </c>
      <c r="D816" s="1">
        <v>16361</v>
      </c>
      <c r="E816" s="1">
        <v>17809</v>
      </c>
      <c r="F816" s="1">
        <v>40025</v>
      </c>
      <c r="G816" s="1" t="s">
        <v>54</v>
      </c>
      <c r="H816" s="1">
        <v>8.2532504000000007E-2</v>
      </c>
      <c r="I816" s="1">
        <v>8.0271339999999997E-2</v>
      </c>
      <c r="J816" s="1">
        <v>9.3838326999999999E-2</v>
      </c>
      <c r="K816" s="1">
        <v>0.141888072</v>
      </c>
      <c r="L816" s="1">
        <v>0.60146975700000005</v>
      </c>
      <c r="M816" s="1" t="s">
        <v>16</v>
      </c>
      <c r="N816" s="1" t="s">
        <v>17</v>
      </c>
    </row>
    <row r="817" spans="1:14" ht="15.75" customHeight="1">
      <c r="A817" s="1">
        <v>0.84759045499999996</v>
      </c>
      <c r="B817" s="1">
        <v>1212</v>
      </c>
      <c r="C817" s="1">
        <v>25</v>
      </c>
      <c r="D817" s="1">
        <v>18456</v>
      </c>
      <c r="E817" s="1">
        <v>13746</v>
      </c>
      <c r="F817" s="1">
        <v>24114</v>
      </c>
      <c r="G817" s="1" t="s">
        <v>54</v>
      </c>
      <c r="H817" s="1">
        <v>0.11446012999999999</v>
      </c>
      <c r="I817" s="1">
        <v>9.9198779000000001E-2</v>
      </c>
      <c r="J817" s="1">
        <v>0.14002289200000001</v>
      </c>
      <c r="K817" s="1">
        <v>0.18161007200000001</v>
      </c>
      <c r="L817" s="1">
        <v>0.46470812700000003</v>
      </c>
      <c r="M817" s="1" t="s">
        <v>16</v>
      </c>
      <c r="N817" s="1" t="s">
        <v>17</v>
      </c>
    </row>
    <row r="818" spans="1:14" ht="15.75" customHeight="1">
      <c r="A818" s="1">
        <v>0.94831902700000004</v>
      </c>
      <c r="B818" s="1">
        <v>1209</v>
      </c>
      <c r="C818" s="1">
        <v>25</v>
      </c>
      <c r="D818" s="1">
        <v>10244</v>
      </c>
      <c r="E818" s="1">
        <v>12377</v>
      </c>
      <c r="F818" s="1">
        <v>21737</v>
      </c>
      <c r="G818" s="1" t="s">
        <v>54</v>
      </c>
      <c r="H818" s="1">
        <v>0.207699194</v>
      </c>
      <c r="I818" s="1">
        <v>0.18442256000000001</v>
      </c>
      <c r="J818" s="1">
        <v>0.15846016099999999</v>
      </c>
      <c r="K818" s="1">
        <v>0.15398388499999999</v>
      </c>
      <c r="L818" s="1">
        <v>0.29543419900000001</v>
      </c>
      <c r="M818" s="1" t="s">
        <v>16</v>
      </c>
      <c r="N818" s="1" t="s">
        <v>17</v>
      </c>
    </row>
    <row r="819" spans="1:14" ht="15.75" customHeight="1">
      <c r="A819" s="1">
        <v>0.95154036399999997</v>
      </c>
      <c r="B819" s="1">
        <v>1086</v>
      </c>
      <c r="C819" s="1">
        <v>21</v>
      </c>
      <c r="D819" s="1">
        <v>6330</v>
      </c>
      <c r="E819" s="1">
        <v>11188</v>
      </c>
      <c r="F819" s="1">
        <v>20606</v>
      </c>
      <c r="G819" s="1" t="s">
        <v>54</v>
      </c>
      <c r="H819" s="1">
        <v>0.29769137299999998</v>
      </c>
      <c r="I819" s="1">
        <v>0.159173755</v>
      </c>
      <c r="J819" s="1">
        <v>0.168894289</v>
      </c>
      <c r="K819" s="1">
        <v>0.16281895499999999</v>
      </c>
      <c r="L819" s="1">
        <v>0.211421628</v>
      </c>
      <c r="M819" s="1" t="s">
        <v>16</v>
      </c>
      <c r="N819" s="1" t="s">
        <v>17</v>
      </c>
    </row>
    <row r="820" spans="1:14" ht="15.75" customHeight="1">
      <c r="A820" s="1">
        <v>0.80324193799999999</v>
      </c>
      <c r="B820" s="1">
        <v>1055</v>
      </c>
      <c r="C820" s="1">
        <v>20</v>
      </c>
      <c r="D820" s="1">
        <v>7340</v>
      </c>
      <c r="E820" s="1">
        <v>10791</v>
      </c>
      <c r="F820" s="1">
        <v>11151</v>
      </c>
      <c r="G820" s="1" t="s">
        <v>54</v>
      </c>
      <c r="H820" s="1">
        <v>0.31204819299999997</v>
      </c>
      <c r="I820" s="1">
        <v>0.180722892</v>
      </c>
      <c r="J820" s="1">
        <v>0.16626505999999999</v>
      </c>
      <c r="K820" s="1">
        <v>0.16867469900000001</v>
      </c>
      <c r="L820" s="1">
        <v>0.172289157</v>
      </c>
      <c r="M820" s="1" t="s">
        <v>16</v>
      </c>
      <c r="N820" s="1" t="s">
        <v>17</v>
      </c>
    </row>
    <row r="821" spans="1:14" ht="15.75" customHeight="1">
      <c r="A821" s="1">
        <v>0.81759352900000004</v>
      </c>
      <c r="B821" s="1">
        <v>1050</v>
      </c>
      <c r="C821" s="1">
        <v>20</v>
      </c>
      <c r="D821" s="1">
        <v>10132</v>
      </c>
      <c r="E821" s="1">
        <v>8522</v>
      </c>
      <c r="F821" s="1">
        <v>19409</v>
      </c>
      <c r="G821" s="1" t="s">
        <v>54</v>
      </c>
      <c r="H821" s="1">
        <v>0.31971153800000002</v>
      </c>
      <c r="I821" s="1">
        <v>0.240384615</v>
      </c>
      <c r="J821" s="1">
        <v>0.18028846200000001</v>
      </c>
      <c r="K821" s="1">
        <v>0.117788462</v>
      </c>
      <c r="L821" s="1">
        <v>0.14182692299999999</v>
      </c>
      <c r="M821" s="1" t="s">
        <v>16</v>
      </c>
      <c r="N821" s="1" t="s">
        <v>17</v>
      </c>
    </row>
    <row r="822" spans="1:14" ht="15.75" customHeight="1">
      <c r="A822" s="1">
        <v>0.655469423</v>
      </c>
      <c r="B822" s="1">
        <v>1019</v>
      </c>
      <c r="C822" s="1">
        <v>19</v>
      </c>
      <c r="D822" s="1">
        <v>2157</v>
      </c>
      <c r="E822" s="1">
        <v>8032</v>
      </c>
      <c r="F822" s="1">
        <v>17542</v>
      </c>
      <c r="G822" s="1" t="s">
        <v>54</v>
      </c>
      <c r="H822" s="1">
        <v>0.32167832200000002</v>
      </c>
      <c r="I822" s="1">
        <v>0.24475524500000001</v>
      </c>
      <c r="J822" s="1">
        <v>0.192307692</v>
      </c>
      <c r="K822" s="1">
        <v>0.111888112</v>
      </c>
      <c r="L822" s="1">
        <v>0.12937062899999999</v>
      </c>
      <c r="M822" s="1" t="s">
        <v>16</v>
      </c>
      <c r="N822" s="1" t="s">
        <v>17</v>
      </c>
    </row>
    <row r="823" spans="1:14" ht="15.75" customHeight="1">
      <c r="A823" s="1">
        <v>0.99206349199999999</v>
      </c>
      <c r="B823" s="1">
        <v>1050</v>
      </c>
      <c r="C823" s="1">
        <v>20</v>
      </c>
      <c r="D823" s="1">
        <v>4636</v>
      </c>
      <c r="E823" s="1">
        <v>7513</v>
      </c>
      <c r="F823" s="1">
        <v>16633</v>
      </c>
      <c r="G823" s="1" t="s">
        <v>54</v>
      </c>
      <c r="H823" s="1">
        <v>0.37028824799999999</v>
      </c>
      <c r="I823" s="1">
        <v>0.22616407999999999</v>
      </c>
      <c r="J823" s="1">
        <v>0.15742793799999999</v>
      </c>
      <c r="K823" s="1">
        <v>0.12416851399999999</v>
      </c>
      <c r="L823" s="1">
        <v>0.12195122</v>
      </c>
      <c r="M823" s="1" t="s">
        <v>16</v>
      </c>
      <c r="N823" s="1" t="s">
        <v>17</v>
      </c>
    </row>
    <row r="824" spans="1:14" ht="15.75" customHeight="1">
      <c r="A824" s="1">
        <v>0.66434648100000004</v>
      </c>
      <c r="B824" s="1">
        <v>1015</v>
      </c>
      <c r="C824" s="1">
        <v>19</v>
      </c>
      <c r="D824" s="1">
        <v>1468</v>
      </c>
      <c r="E824" s="1">
        <v>5970</v>
      </c>
      <c r="F824" s="1">
        <v>11664</v>
      </c>
      <c r="G824" s="1" t="s">
        <v>54</v>
      </c>
      <c r="H824" s="1">
        <v>0.38596491199999999</v>
      </c>
      <c r="I824" s="1">
        <v>0.222222222</v>
      </c>
      <c r="J824" s="1">
        <v>0.15789473700000001</v>
      </c>
      <c r="K824" s="1">
        <v>0.134502924</v>
      </c>
      <c r="L824" s="1">
        <v>9.9415205000000006E-2</v>
      </c>
      <c r="M824" s="1" t="s">
        <v>16</v>
      </c>
      <c r="N824" s="1" t="s">
        <v>17</v>
      </c>
    </row>
    <row r="825" spans="1:14" ht="15.75" customHeight="1">
      <c r="A825" s="1">
        <v>0.70925963700000005</v>
      </c>
      <c r="B825" s="1">
        <v>1145</v>
      </c>
      <c r="C825" s="1">
        <v>23</v>
      </c>
      <c r="D825" s="1">
        <v>20814</v>
      </c>
      <c r="E825" s="1">
        <v>10234</v>
      </c>
      <c r="F825" s="1">
        <v>25754</v>
      </c>
      <c r="G825" s="1" t="s">
        <v>54</v>
      </c>
      <c r="H825" s="1">
        <v>0.24769514400000001</v>
      </c>
      <c r="I825" s="1">
        <v>0.15611554999999999</v>
      </c>
      <c r="J825" s="1">
        <v>0.180700676</v>
      </c>
      <c r="K825" s="1">
        <v>0.14074984600000001</v>
      </c>
      <c r="L825" s="1">
        <v>0.27473878299999999</v>
      </c>
      <c r="M825" s="1" t="s">
        <v>16</v>
      </c>
      <c r="N825" s="1" t="s">
        <v>17</v>
      </c>
    </row>
    <row r="826" spans="1:14" ht="15.75" customHeight="1">
      <c r="A826" s="1">
        <v>0.76541164900000003</v>
      </c>
      <c r="B826" s="1">
        <v>1239</v>
      </c>
      <c r="C826" s="1">
        <v>26</v>
      </c>
      <c r="D826" s="1">
        <v>21496</v>
      </c>
      <c r="E826" s="1">
        <v>9595</v>
      </c>
      <c r="F826" s="1">
        <v>26665</v>
      </c>
      <c r="G826" s="1" t="s">
        <v>54</v>
      </c>
      <c r="H826" s="1">
        <v>0.25875320200000002</v>
      </c>
      <c r="I826" s="1">
        <v>0.211784799</v>
      </c>
      <c r="J826" s="1">
        <v>0.177625961</v>
      </c>
      <c r="K826" s="1">
        <v>0.111016225</v>
      </c>
      <c r="L826" s="1">
        <v>0.24081981199999999</v>
      </c>
      <c r="M826" s="1" t="s">
        <v>16</v>
      </c>
      <c r="N826" s="1" t="s">
        <v>17</v>
      </c>
    </row>
    <row r="827" spans="1:14" ht="15.75" customHeight="1">
      <c r="A827" s="1">
        <v>0.55767918100000002</v>
      </c>
      <c r="B827" s="1">
        <v>1143</v>
      </c>
      <c r="C827" s="1">
        <v>23</v>
      </c>
      <c r="D827" s="1">
        <v>896</v>
      </c>
      <c r="E827" s="1">
        <v>9000</v>
      </c>
      <c r="F827" s="1">
        <v>20190</v>
      </c>
      <c r="G827" s="1" t="s">
        <v>54</v>
      </c>
      <c r="H827" s="1">
        <v>0.34751773000000002</v>
      </c>
      <c r="I827" s="1">
        <v>0.191489362</v>
      </c>
      <c r="J827" s="1">
        <v>0.219858156</v>
      </c>
      <c r="K827" s="1">
        <v>0.156028369</v>
      </c>
      <c r="L827" s="1">
        <v>8.5106382999999994E-2</v>
      </c>
      <c r="M827" s="1" t="s">
        <v>16</v>
      </c>
      <c r="N827" s="1" t="s">
        <v>17</v>
      </c>
    </row>
    <row r="828" spans="1:14" ht="15.75" customHeight="1">
      <c r="A828" s="1">
        <v>0.80343980299999995</v>
      </c>
      <c r="B828" s="1">
        <v>1084</v>
      </c>
      <c r="C828" s="1">
        <v>21</v>
      </c>
      <c r="D828" s="1">
        <v>3031</v>
      </c>
      <c r="E828" s="1">
        <v>7200</v>
      </c>
      <c r="F828" s="1">
        <v>16410</v>
      </c>
      <c r="G828" s="1" t="s">
        <v>54</v>
      </c>
      <c r="H828" s="1">
        <v>0.41509434000000001</v>
      </c>
      <c r="I828" s="1">
        <v>0.29559748400000002</v>
      </c>
      <c r="J828" s="1">
        <v>0.25157232699999998</v>
      </c>
      <c r="K828" s="1">
        <v>3.7735849000000002E-2</v>
      </c>
      <c r="L828" s="1">
        <v>0</v>
      </c>
      <c r="M828" s="1" t="s">
        <v>16</v>
      </c>
      <c r="N828" s="1" t="s">
        <v>17</v>
      </c>
    </row>
    <row r="829" spans="1:14" ht="15.75" customHeight="1">
      <c r="A829" s="1">
        <v>1</v>
      </c>
      <c r="B829" s="1">
        <v>1050</v>
      </c>
      <c r="C829" s="1">
        <v>20</v>
      </c>
      <c r="D829" s="1">
        <v>3469</v>
      </c>
      <c r="E829" s="1">
        <v>8295</v>
      </c>
      <c r="F829" s="1">
        <v>8325</v>
      </c>
      <c r="G829" s="1" t="s">
        <v>54</v>
      </c>
      <c r="H829" s="1">
        <v>0.25932835799999998</v>
      </c>
      <c r="I829" s="1">
        <v>0.14365671599999999</v>
      </c>
      <c r="J829" s="1">
        <v>0.152985075</v>
      </c>
      <c r="K829" s="1">
        <v>0.19216417899999999</v>
      </c>
      <c r="L829" s="1">
        <v>0.25186567199999998</v>
      </c>
      <c r="M829" s="1" t="s">
        <v>16</v>
      </c>
      <c r="N829" s="1" t="s">
        <v>17</v>
      </c>
    </row>
    <row r="830" spans="1:14" ht="15.75" customHeight="1">
      <c r="A830" s="1">
        <v>0.91669995999999998</v>
      </c>
      <c r="B830" s="1">
        <v>1165</v>
      </c>
      <c r="C830" s="1">
        <v>23</v>
      </c>
      <c r="D830" s="1">
        <v>2913</v>
      </c>
      <c r="E830" s="1">
        <v>12687</v>
      </c>
      <c r="F830" s="1">
        <v>35592</v>
      </c>
      <c r="G830" s="1" t="s">
        <v>54</v>
      </c>
      <c r="H830" s="1">
        <v>0.22777777799999999</v>
      </c>
      <c r="I830" s="1">
        <v>0.15</v>
      </c>
      <c r="J830" s="1">
        <v>0.161111111</v>
      </c>
      <c r="K830" s="1">
        <v>0.18333333299999999</v>
      </c>
      <c r="L830" s="1">
        <v>0.27777777799999998</v>
      </c>
      <c r="M830" s="1" t="s">
        <v>16</v>
      </c>
      <c r="N830" s="1" t="s">
        <v>17</v>
      </c>
    </row>
    <row r="831" spans="1:14" ht="15.75" customHeight="1">
      <c r="A831" s="1">
        <v>0.85106599000000005</v>
      </c>
      <c r="B831" s="1">
        <v>1257</v>
      </c>
      <c r="C831" s="1">
        <v>27</v>
      </c>
      <c r="D831" s="1">
        <v>19758</v>
      </c>
      <c r="E831" s="1">
        <v>15669</v>
      </c>
      <c r="F831" s="1">
        <v>43302</v>
      </c>
      <c r="G831" s="1" t="s">
        <v>54</v>
      </c>
      <c r="H831" s="1">
        <v>0.24154209300000001</v>
      </c>
      <c r="I831" s="1">
        <v>0.14712824499999999</v>
      </c>
      <c r="J831" s="1">
        <v>0.200629426</v>
      </c>
      <c r="K831" s="1">
        <v>0.12981904</v>
      </c>
      <c r="L831" s="1">
        <v>0.280881196</v>
      </c>
      <c r="M831" s="1" t="s">
        <v>16</v>
      </c>
      <c r="N831" s="1" t="s">
        <v>17</v>
      </c>
    </row>
    <row r="832" spans="1:14" ht="15.75" customHeight="1">
      <c r="A832" s="1">
        <v>0.986887509</v>
      </c>
      <c r="B832" s="1">
        <v>1057</v>
      </c>
      <c r="C832" s="1">
        <v>23</v>
      </c>
      <c r="D832" s="1">
        <v>3211</v>
      </c>
      <c r="E832" s="1">
        <v>11025</v>
      </c>
      <c r="F832" s="1">
        <v>30735</v>
      </c>
      <c r="G832" s="1" t="s">
        <v>54</v>
      </c>
      <c r="H832" s="1">
        <v>0.22911051199999999</v>
      </c>
      <c r="I832" s="1">
        <v>0.134770889</v>
      </c>
      <c r="J832" s="1">
        <v>0.145552561</v>
      </c>
      <c r="K832" s="1">
        <v>0.175202156</v>
      </c>
      <c r="L832" s="1">
        <v>0.31536388100000001</v>
      </c>
      <c r="M832" s="1" t="s">
        <v>16</v>
      </c>
      <c r="N832" s="1" t="s">
        <v>17</v>
      </c>
    </row>
    <row r="833" spans="1:14" ht="15.75" customHeight="1">
      <c r="A833" s="1">
        <v>0.928764531</v>
      </c>
      <c r="B833" s="1">
        <v>1078</v>
      </c>
      <c r="C833" s="1">
        <v>23</v>
      </c>
      <c r="D833" s="1">
        <v>4611</v>
      </c>
      <c r="E833" s="1">
        <v>11036</v>
      </c>
      <c r="F833" s="1">
        <v>19002</v>
      </c>
      <c r="G833" s="1" t="s">
        <v>54</v>
      </c>
      <c r="H833" s="1">
        <v>0.32157968999999997</v>
      </c>
      <c r="I833" s="1">
        <v>0.18194640300000001</v>
      </c>
      <c r="J833" s="1">
        <v>0.17207334299999999</v>
      </c>
      <c r="K833" s="1">
        <v>0.14950634700000001</v>
      </c>
      <c r="L833" s="1">
        <v>0.17489421699999999</v>
      </c>
      <c r="M833" s="1" t="s">
        <v>16</v>
      </c>
      <c r="N833" s="1" t="s">
        <v>17</v>
      </c>
    </row>
    <row r="834" spans="1:14" ht="15.75" customHeight="1">
      <c r="A834" s="1">
        <v>0.91201443400000004</v>
      </c>
      <c r="B834" s="1">
        <v>1052</v>
      </c>
      <c r="C834" s="1">
        <v>21</v>
      </c>
      <c r="D834" s="1">
        <v>6893</v>
      </c>
      <c r="E834" s="1">
        <v>11380</v>
      </c>
      <c r="F834" s="1">
        <v>16297</v>
      </c>
      <c r="G834" s="1" t="s">
        <v>54</v>
      </c>
      <c r="H834" s="1">
        <v>0.23731343299999999</v>
      </c>
      <c r="I834" s="1">
        <v>0.14701492499999999</v>
      </c>
      <c r="J834" s="1">
        <v>0.17089552199999999</v>
      </c>
      <c r="K834" s="1">
        <v>0.162686567</v>
      </c>
      <c r="L834" s="1">
        <v>0.28208955200000002</v>
      </c>
      <c r="M834" s="1" t="s">
        <v>16</v>
      </c>
      <c r="N834" s="1" t="s">
        <v>17</v>
      </c>
    </row>
    <row r="835" spans="1:14" ht="15.75" customHeight="1">
      <c r="A835" s="1">
        <v>0.783698012</v>
      </c>
      <c r="B835" s="1">
        <v>984</v>
      </c>
      <c r="C835" s="1">
        <v>22</v>
      </c>
      <c r="D835" s="1">
        <v>1712</v>
      </c>
      <c r="E835" s="1">
        <v>12512</v>
      </c>
      <c r="F835" s="1">
        <v>19384</v>
      </c>
      <c r="G835" s="1" t="s">
        <v>54</v>
      </c>
      <c r="H835" s="1">
        <v>0.33132530100000002</v>
      </c>
      <c r="I835" s="1">
        <v>0.27710843400000001</v>
      </c>
      <c r="J835" s="1">
        <v>0.20481927699999999</v>
      </c>
      <c r="K835" s="1">
        <v>9.6385542000000005E-2</v>
      </c>
      <c r="L835" s="1">
        <v>9.0361445999999998E-2</v>
      </c>
      <c r="M835" s="1" t="s">
        <v>16</v>
      </c>
      <c r="N835" s="1" t="s">
        <v>17</v>
      </c>
    </row>
    <row r="836" spans="1:14" ht="15.75" customHeight="1">
      <c r="A836" s="1">
        <v>0.69345227200000004</v>
      </c>
      <c r="B836" s="1">
        <v>1213</v>
      </c>
      <c r="C836" s="1">
        <v>26</v>
      </c>
      <c r="D836" s="1">
        <v>3172</v>
      </c>
      <c r="E836" s="1">
        <v>15944</v>
      </c>
      <c r="F836" s="1">
        <v>26668</v>
      </c>
      <c r="G836" s="1" t="s">
        <v>54</v>
      </c>
      <c r="H836" s="1">
        <v>0.14285714299999999</v>
      </c>
      <c r="I836" s="1">
        <v>0.14508928600000001</v>
      </c>
      <c r="J836" s="1">
        <v>0.149553571</v>
      </c>
      <c r="K836" s="1">
        <v>0.23214285700000001</v>
      </c>
      <c r="L836" s="1">
        <v>0.33035714300000002</v>
      </c>
      <c r="M836" s="1" t="s">
        <v>16</v>
      </c>
      <c r="N836" s="1" t="s">
        <v>17</v>
      </c>
    </row>
    <row r="837" spans="1:14" ht="15.75" customHeight="1">
      <c r="A837" s="1">
        <v>0.69345227200000004</v>
      </c>
      <c r="B837" s="1">
        <v>1133</v>
      </c>
      <c r="C837" s="1">
        <v>26</v>
      </c>
      <c r="D837" s="1">
        <v>423</v>
      </c>
      <c r="E837" s="1">
        <v>14380</v>
      </c>
      <c r="F837" s="1">
        <v>23872</v>
      </c>
      <c r="G837" s="1" t="s">
        <v>54</v>
      </c>
      <c r="H837" s="1">
        <v>0.13253012</v>
      </c>
      <c r="I837" s="1">
        <v>0.14457831300000001</v>
      </c>
      <c r="J837" s="1">
        <v>0.21686747000000001</v>
      </c>
      <c r="K837" s="1">
        <v>0.27710843400000001</v>
      </c>
      <c r="L837" s="1">
        <v>0.22891566299999999</v>
      </c>
      <c r="M837" s="1" t="s">
        <v>16</v>
      </c>
      <c r="N837" s="1" t="s">
        <v>17</v>
      </c>
    </row>
    <row r="838" spans="1:14" ht="15.75" customHeight="1">
      <c r="A838" s="1">
        <v>0.69345227200000004</v>
      </c>
      <c r="B838" s="1">
        <v>1212</v>
      </c>
      <c r="C838" s="1">
        <v>23</v>
      </c>
      <c r="D838" s="1">
        <v>902</v>
      </c>
      <c r="E838" s="1">
        <v>15180</v>
      </c>
      <c r="F838" s="1">
        <v>25118</v>
      </c>
      <c r="G838" s="1" t="s">
        <v>54</v>
      </c>
      <c r="H838" s="1">
        <v>0.20121951199999999</v>
      </c>
      <c r="I838" s="1">
        <v>0.15243902400000001</v>
      </c>
      <c r="J838" s="1">
        <v>0.146341463</v>
      </c>
      <c r="K838" s="1">
        <v>0.22560975599999999</v>
      </c>
      <c r="L838" s="1">
        <v>0.27439024400000001</v>
      </c>
      <c r="M838" s="1" t="s">
        <v>16</v>
      </c>
      <c r="N838" s="1" t="s">
        <v>17</v>
      </c>
    </row>
    <row r="839" spans="1:14" ht="15.75" customHeight="1">
      <c r="A839" s="1">
        <v>0.69345227200000004</v>
      </c>
      <c r="B839" s="1">
        <v>1163</v>
      </c>
      <c r="C839" s="1">
        <v>24</v>
      </c>
      <c r="D839" s="1">
        <v>2412</v>
      </c>
      <c r="E839" s="1">
        <v>15944</v>
      </c>
      <c r="F839" s="1">
        <v>26668</v>
      </c>
      <c r="G839" s="1" t="s">
        <v>54</v>
      </c>
      <c r="H839" s="1">
        <v>0.10666666700000001</v>
      </c>
      <c r="I839" s="1">
        <v>9.0666667000000006E-2</v>
      </c>
      <c r="J839" s="1">
        <v>0.17066666699999999</v>
      </c>
      <c r="K839" s="1">
        <v>0.22666666699999999</v>
      </c>
      <c r="L839" s="1">
        <v>0.40533333300000002</v>
      </c>
      <c r="M839" s="1" t="s">
        <v>16</v>
      </c>
      <c r="N839" s="1" t="s">
        <v>17</v>
      </c>
    </row>
    <row r="840" spans="1:14" ht="15.75" customHeight="1">
      <c r="A840" s="1">
        <v>0.69345227200000004</v>
      </c>
      <c r="B840" s="1">
        <v>1191</v>
      </c>
      <c r="C840" s="1">
        <v>23</v>
      </c>
      <c r="D840" s="1">
        <v>491</v>
      </c>
      <c r="E840" s="1">
        <v>14380</v>
      </c>
      <c r="F840" s="1">
        <v>23872</v>
      </c>
      <c r="G840" s="1" t="s">
        <v>54</v>
      </c>
      <c r="H840" s="1">
        <v>0.13924050599999999</v>
      </c>
      <c r="I840" s="1">
        <v>0.164556962</v>
      </c>
      <c r="J840" s="1">
        <v>0.15189873400000001</v>
      </c>
      <c r="K840" s="1">
        <v>0.164556962</v>
      </c>
      <c r="L840" s="1">
        <v>0.379746835</v>
      </c>
      <c r="M840" s="1" t="s">
        <v>16</v>
      </c>
      <c r="N840" s="1" t="s">
        <v>17</v>
      </c>
    </row>
    <row r="841" spans="1:14" ht="15.75" customHeight="1">
      <c r="A841" s="1">
        <v>0.69345227200000004</v>
      </c>
      <c r="B841" s="1">
        <v>1219</v>
      </c>
      <c r="C841" s="1">
        <v>27</v>
      </c>
      <c r="D841" s="1">
        <v>1887</v>
      </c>
      <c r="E841" s="1">
        <v>15944</v>
      </c>
      <c r="F841" s="1">
        <v>26668</v>
      </c>
      <c r="G841" s="1" t="s">
        <v>54</v>
      </c>
      <c r="H841" s="1">
        <v>0.13309352499999999</v>
      </c>
      <c r="I841" s="1">
        <v>0.100719424</v>
      </c>
      <c r="J841" s="1">
        <v>0.201438849</v>
      </c>
      <c r="K841" s="1">
        <v>0.16546762600000001</v>
      </c>
      <c r="L841" s="1">
        <v>0.399280576</v>
      </c>
      <c r="M841" s="1" t="s">
        <v>16</v>
      </c>
      <c r="N841" s="1" t="s">
        <v>17</v>
      </c>
    </row>
    <row r="842" spans="1:14" ht="15.75" customHeight="1">
      <c r="A842" s="1">
        <v>0.69345227200000004</v>
      </c>
      <c r="B842" s="1">
        <v>1218</v>
      </c>
      <c r="C842" s="1">
        <v>28</v>
      </c>
      <c r="D842" s="1">
        <v>4154</v>
      </c>
      <c r="E842" s="1">
        <v>15944</v>
      </c>
      <c r="F842" s="1">
        <v>26668</v>
      </c>
      <c r="G842" s="1" t="s">
        <v>54</v>
      </c>
      <c r="H842" s="1">
        <v>0.18028168999999999</v>
      </c>
      <c r="I842" s="1">
        <v>0.166197183</v>
      </c>
      <c r="J842" s="1">
        <v>0.16056338000000001</v>
      </c>
      <c r="K842" s="1">
        <v>0.17746478900000001</v>
      </c>
      <c r="L842" s="1">
        <v>0.31549295799999999</v>
      </c>
      <c r="M842" s="1" t="s">
        <v>16</v>
      </c>
      <c r="N842" s="1" t="s">
        <v>17</v>
      </c>
    </row>
    <row r="843" spans="1:14" ht="15.75" customHeight="1">
      <c r="A843" s="1">
        <v>0.69345227200000004</v>
      </c>
      <c r="B843" s="1">
        <v>1211</v>
      </c>
      <c r="C843" s="1">
        <v>25</v>
      </c>
      <c r="D843" s="1">
        <v>1218</v>
      </c>
      <c r="E843" s="1">
        <v>15180</v>
      </c>
      <c r="F843" s="1">
        <v>25118</v>
      </c>
      <c r="G843" s="1" t="s">
        <v>54</v>
      </c>
      <c r="H843" s="1">
        <v>0.172774869</v>
      </c>
      <c r="I843" s="1">
        <v>0.178010471</v>
      </c>
      <c r="J843" s="1">
        <v>0.22513089</v>
      </c>
      <c r="K843" s="1">
        <v>0.13089005200000001</v>
      </c>
      <c r="L843" s="1">
        <v>0.29319371700000002</v>
      </c>
      <c r="M843" s="1" t="s">
        <v>16</v>
      </c>
      <c r="N843" s="1" t="s">
        <v>17</v>
      </c>
    </row>
    <row r="844" spans="1:14" ht="15.75" customHeight="1">
      <c r="A844" s="1">
        <v>0.69345227200000004</v>
      </c>
      <c r="B844" s="1">
        <v>1179</v>
      </c>
      <c r="C844" s="1">
        <v>23</v>
      </c>
      <c r="D844" s="1">
        <v>3074</v>
      </c>
      <c r="E844" s="1">
        <v>15240</v>
      </c>
      <c r="F844" s="1">
        <v>25388</v>
      </c>
      <c r="G844" s="1" t="s">
        <v>54</v>
      </c>
      <c r="H844" s="1">
        <v>0.27188940099999998</v>
      </c>
      <c r="I844" s="1">
        <v>0.22350230400000001</v>
      </c>
      <c r="J844" s="1">
        <v>0.15898617500000001</v>
      </c>
      <c r="K844" s="1">
        <v>7.8341014E-2</v>
      </c>
      <c r="L844" s="1">
        <v>0.26728110599999999</v>
      </c>
      <c r="M844" s="1" t="s">
        <v>16</v>
      </c>
      <c r="N844" s="1" t="s">
        <v>17</v>
      </c>
    </row>
    <row r="845" spans="1:14" ht="15.75" customHeight="1">
      <c r="A845" s="1">
        <v>0.56827352499999995</v>
      </c>
      <c r="B845" s="1">
        <v>1168</v>
      </c>
      <c r="C845" s="1">
        <v>27</v>
      </c>
      <c r="D845" s="1">
        <v>980</v>
      </c>
      <c r="E845" s="1">
        <v>14620</v>
      </c>
      <c r="F845" s="1">
        <v>26494</v>
      </c>
      <c r="G845" s="1" t="s">
        <v>54</v>
      </c>
      <c r="H845" s="1">
        <v>0.27702702699999998</v>
      </c>
      <c r="I845" s="1">
        <v>0.114864865</v>
      </c>
      <c r="J845" s="1">
        <v>0.20270270300000001</v>
      </c>
      <c r="K845" s="1">
        <v>0.162162162</v>
      </c>
      <c r="L845" s="1">
        <v>0.243243243</v>
      </c>
      <c r="M845" s="1" t="s">
        <v>16</v>
      </c>
      <c r="N845" s="1" t="s">
        <v>17</v>
      </c>
    </row>
    <row r="846" spans="1:14" ht="15.75" customHeight="1">
      <c r="A846" s="1">
        <v>0.56827352499999995</v>
      </c>
      <c r="B846" s="1">
        <v>1172</v>
      </c>
      <c r="C846" s="1">
        <v>24</v>
      </c>
      <c r="D846" s="1">
        <v>1322</v>
      </c>
      <c r="E846" s="1">
        <v>14630</v>
      </c>
      <c r="F846" s="1">
        <v>26504</v>
      </c>
      <c r="G846" s="1" t="s">
        <v>54</v>
      </c>
      <c r="H846" s="1">
        <v>0.20331950200000001</v>
      </c>
      <c r="I846" s="1">
        <v>0.14522821599999999</v>
      </c>
      <c r="J846" s="1">
        <v>0.17012448099999999</v>
      </c>
      <c r="K846" s="1">
        <v>0.21576763500000001</v>
      </c>
      <c r="L846" s="1">
        <v>0.26556016599999999</v>
      </c>
      <c r="M846" s="1" t="s">
        <v>16</v>
      </c>
      <c r="N846" s="1" t="s">
        <v>17</v>
      </c>
    </row>
    <row r="847" spans="1:14" ht="15.75" customHeight="1">
      <c r="A847" s="1">
        <v>0.56827352499999995</v>
      </c>
      <c r="B847" s="1">
        <v>1158</v>
      </c>
      <c r="C847" s="1">
        <v>28</v>
      </c>
      <c r="D847" s="1">
        <v>1934</v>
      </c>
      <c r="E847" s="1">
        <v>14646</v>
      </c>
      <c r="F847" s="1">
        <v>26520</v>
      </c>
      <c r="G847" s="1" t="s">
        <v>54</v>
      </c>
      <c r="H847" s="1">
        <v>0.140672783</v>
      </c>
      <c r="I847" s="1">
        <v>0.11009174300000001</v>
      </c>
      <c r="J847" s="1">
        <v>0.214067278</v>
      </c>
      <c r="K847" s="1">
        <v>0.18960244600000001</v>
      </c>
      <c r="L847" s="1">
        <v>0.34556574899999998</v>
      </c>
      <c r="M847" s="1" t="s">
        <v>16</v>
      </c>
      <c r="N847" s="1" t="s">
        <v>17</v>
      </c>
    </row>
    <row r="848" spans="1:14" ht="15.75" customHeight="1">
      <c r="A848" s="1">
        <v>0.74620036000000001</v>
      </c>
      <c r="B848" s="1">
        <v>1086</v>
      </c>
      <c r="C848" s="1">
        <v>22</v>
      </c>
      <c r="D848" s="1">
        <v>6728</v>
      </c>
      <c r="E848" s="1">
        <v>10507</v>
      </c>
      <c r="F848" s="1">
        <v>14615</v>
      </c>
      <c r="G848" s="1" t="s">
        <v>54</v>
      </c>
      <c r="H848" s="1">
        <v>0.15259410000000001</v>
      </c>
      <c r="I848" s="1">
        <v>0.11393692800000001</v>
      </c>
      <c r="J848" s="1">
        <v>0.16480162800000001</v>
      </c>
      <c r="K848" s="1">
        <v>0.19938962399999999</v>
      </c>
      <c r="L848" s="1">
        <v>0.369277721</v>
      </c>
      <c r="M848" s="1" t="s">
        <v>16</v>
      </c>
      <c r="N848" s="1" t="s">
        <v>17</v>
      </c>
    </row>
    <row r="849" spans="1:14" ht="15.75" customHeight="1">
      <c r="A849" s="1">
        <v>0.79200825900000005</v>
      </c>
      <c r="B849" s="1">
        <v>1184</v>
      </c>
      <c r="C849" s="1">
        <v>26</v>
      </c>
      <c r="D849" s="1">
        <v>14067</v>
      </c>
      <c r="E849" s="1">
        <v>10687</v>
      </c>
      <c r="F849" s="1">
        <v>22511</v>
      </c>
      <c r="G849" s="1" t="s">
        <v>54</v>
      </c>
      <c r="H849" s="1">
        <v>0.15954570000000001</v>
      </c>
      <c r="I849" s="1">
        <v>0.111411574</v>
      </c>
      <c r="J849" s="1">
        <v>0.16549486199999999</v>
      </c>
      <c r="K849" s="1">
        <v>0.156841536</v>
      </c>
      <c r="L849" s="1">
        <v>0.40670632800000001</v>
      </c>
      <c r="M849" s="1" t="s">
        <v>16</v>
      </c>
      <c r="N849" s="1" t="s">
        <v>17</v>
      </c>
    </row>
    <row r="850" spans="1:14" ht="15.75" customHeight="1">
      <c r="A850" s="1">
        <v>0.770666772</v>
      </c>
      <c r="B850" s="1">
        <v>1176</v>
      </c>
      <c r="C850" s="1">
        <v>28</v>
      </c>
      <c r="D850" s="1">
        <v>13822</v>
      </c>
      <c r="E850" s="1">
        <v>16408</v>
      </c>
      <c r="F850" s="1">
        <v>35804</v>
      </c>
      <c r="G850" s="1" t="s">
        <v>54</v>
      </c>
      <c r="H850" s="1">
        <v>0.192607004</v>
      </c>
      <c r="I850" s="1">
        <v>0.145914397</v>
      </c>
      <c r="J850" s="1">
        <v>0.152723735</v>
      </c>
      <c r="K850" s="1">
        <v>0.163424125</v>
      </c>
      <c r="L850" s="1">
        <v>0.345330739</v>
      </c>
      <c r="M850" s="1" t="s">
        <v>16</v>
      </c>
      <c r="N850" s="1" t="s">
        <v>17</v>
      </c>
    </row>
    <row r="851" spans="1:14" ht="15.75" customHeight="1">
      <c r="A851" s="1">
        <v>0.72000899399999996</v>
      </c>
      <c r="B851" s="1">
        <v>1238</v>
      </c>
      <c r="C851" s="1">
        <v>27</v>
      </c>
      <c r="D851" s="1">
        <v>10366</v>
      </c>
      <c r="E851" s="1">
        <v>12978</v>
      </c>
      <c r="F851" s="1">
        <v>36858</v>
      </c>
      <c r="G851" s="1" t="s">
        <v>54</v>
      </c>
      <c r="H851" s="1">
        <v>0.20592823699999999</v>
      </c>
      <c r="I851" s="1">
        <v>0.13884555400000001</v>
      </c>
      <c r="J851" s="1">
        <v>0.14820592799999999</v>
      </c>
      <c r="K851" s="1">
        <v>0.15444617799999999</v>
      </c>
      <c r="L851" s="1">
        <v>0.35257410300000003</v>
      </c>
      <c r="M851" s="1" t="s">
        <v>16</v>
      </c>
      <c r="N851" s="1" t="s">
        <v>17</v>
      </c>
    </row>
    <row r="852" spans="1:14" ht="15.75" customHeight="1">
      <c r="A852" s="1">
        <v>0.98092265000000001</v>
      </c>
      <c r="B852" s="1">
        <v>1184</v>
      </c>
      <c r="C852" s="1">
        <v>24</v>
      </c>
      <c r="D852" s="1">
        <v>2624</v>
      </c>
      <c r="E852" s="1">
        <v>12570</v>
      </c>
      <c r="F852" s="1">
        <v>37370</v>
      </c>
      <c r="G852" s="1" t="s">
        <v>54</v>
      </c>
      <c r="H852" s="1">
        <v>0.11682243</v>
      </c>
      <c r="I852" s="1">
        <v>0.112149533</v>
      </c>
      <c r="J852" s="1">
        <v>0.16355140200000001</v>
      </c>
      <c r="K852" s="1">
        <v>0.200934579</v>
      </c>
      <c r="L852" s="1">
        <v>0.40654205599999998</v>
      </c>
      <c r="M852" s="1" t="s">
        <v>16</v>
      </c>
      <c r="N852" s="1" t="s">
        <v>17</v>
      </c>
    </row>
    <row r="853" spans="1:14" ht="15.75" customHeight="1">
      <c r="A853" s="1">
        <v>0.82229865300000005</v>
      </c>
      <c r="B853" s="1">
        <v>1039</v>
      </c>
      <c r="C853" s="1">
        <v>20</v>
      </c>
      <c r="D853" s="1">
        <v>2640</v>
      </c>
      <c r="E853" s="1">
        <v>11160</v>
      </c>
      <c r="F853" s="1">
        <v>21544</v>
      </c>
      <c r="G853" s="1" t="s">
        <v>54</v>
      </c>
      <c r="H853" s="1">
        <v>0.382716049</v>
      </c>
      <c r="I853" s="1">
        <v>0.25102880700000002</v>
      </c>
      <c r="J853" s="1">
        <v>0.12962963</v>
      </c>
      <c r="K853" s="1">
        <v>9.2592593000000001E-2</v>
      </c>
      <c r="L853" s="1">
        <v>0.14403292200000001</v>
      </c>
      <c r="M853" s="1" t="s">
        <v>16</v>
      </c>
      <c r="N853" s="1" t="s">
        <v>17</v>
      </c>
    </row>
    <row r="854" spans="1:14" ht="15.75" customHeight="1">
      <c r="A854" s="1">
        <v>0.67920524699999996</v>
      </c>
      <c r="B854" s="1">
        <v>1057</v>
      </c>
      <c r="C854" s="1">
        <v>20</v>
      </c>
      <c r="D854" s="1">
        <v>3384</v>
      </c>
      <c r="E854" s="1">
        <v>11700</v>
      </c>
      <c r="F854" s="1">
        <v>21300</v>
      </c>
      <c r="G854" s="1" t="s">
        <v>54</v>
      </c>
      <c r="H854" s="1">
        <v>0.26368876099999999</v>
      </c>
      <c r="I854" s="1">
        <v>0.15850144099999999</v>
      </c>
      <c r="J854" s="1">
        <v>0.155619597</v>
      </c>
      <c r="K854" s="1">
        <v>0.13688760799999999</v>
      </c>
      <c r="L854" s="1">
        <v>0.28530259400000002</v>
      </c>
      <c r="M854" s="1" t="s">
        <v>16</v>
      </c>
      <c r="N854" s="1" t="s">
        <v>17</v>
      </c>
    </row>
    <row r="855" spans="1:14" ht="15.75" customHeight="1">
      <c r="A855" s="1">
        <v>0.79724612699999997</v>
      </c>
      <c r="B855" s="1">
        <v>1063</v>
      </c>
      <c r="C855" s="1">
        <v>20</v>
      </c>
      <c r="D855" s="1">
        <v>2805</v>
      </c>
      <c r="E855" s="1">
        <v>10760</v>
      </c>
      <c r="F855" s="1">
        <v>21218</v>
      </c>
      <c r="G855" s="1" t="s">
        <v>54</v>
      </c>
      <c r="H855" s="1">
        <v>0.35459183700000002</v>
      </c>
      <c r="I855" s="1">
        <v>0.18622448999999999</v>
      </c>
      <c r="J855" s="1">
        <v>0.13775510199999999</v>
      </c>
      <c r="K855" s="1">
        <v>0.14795918399999999</v>
      </c>
      <c r="L855" s="1">
        <v>0.173469388</v>
      </c>
      <c r="M855" s="1" t="s">
        <v>16</v>
      </c>
      <c r="N855" s="1" t="s">
        <v>17</v>
      </c>
    </row>
    <row r="856" spans="1:14" ht="15.75" customHeight="1">
      <c r="A856" s="1">
        <v>0.61492652400000003</v>
      </c>
      <c r="B856" s="1">
        <v>1297</v>
      </c>
      <c r="C856" s="1">
        <v>29</v>
      </c>
      <c r="D856" s="1">
        <v>28113</v>
      </c>
      <c r="E856" s="1">
        <v>12688</v>
      </c>
      <c r="F856" s="1">
        <v>34934</v>
      </c>
      <c r="G856" s="1" t="s">
        <v>54</v>
      </c>
      <c r="H856" s="1">
        <v>0.156030534</v>
      </c>
      <c r="I856" s="1">
        <v>0.11450381699999999</v>
      </c>
      <c r="J856" s="1">
        <v>0.13312977100000001</v>
      </c>
      <c r="K856" s="1">
        <v>0.13648854999999999</v>
      </c>
      <c r="L856" s="1">
        <v>0.459847328</v>
      </c>
      <c r="M856" s="1" t="s">
        <v>16</v>
      </c>
      <c r="N856" s="1" t="s">
        <v>17</v>
      </c>
    </row>
    <row r="857" spans="1:14" ht="15.75" customHeight="1">
      <c r="A857" s="1">
        <v>0.80189869899999999</v>
      </c>
      <c r="B857" s="1">
        <v>1128</v>
      </c>
      <c r="C857" s="1">
        <v>23</v>
      </c>
      <c r="D857" s="1">
        <v>9909</v>
      </c>
      <c r="E857" s="1">
        <v>11640</v>
      </c>
      <c r="F857" s="1">
        <v>29628</v>
      </c>
      <c r="G857" s="1" t="s">
        <v>54</v>
      </c>
      <c r="H857" s="1">
        <v>0.243980738</v>
      </c>
      <c r="I857" s="1">
        <v>0.170144462</v>
      </c>
      <c r="J857" s="1">
        <v>0.163723917</v>
      </c>
      <c r="K857" s="1">
        <v>0.171749599</v>
      </c>
      <c r="L857" s="1">
        <v>0.250401284</v>
      </c>
      <c r="M857" s="1" t="s">
        <v>16</v>
      </c>
      <c r="N857" s="1" t="s">
        <v>17</v>
      </c>
    </row>
    <row r="858" spans="1:14" ht="15.75" customHeight="1">
      <c r="A858" s="1">
        <v>0.69609221300000002</v>
      </c>
      <c r="B858" s="1">
        <v>1082</v>
      </c>
      <c r="C858" s="1">
        <v>22</v>
      </c>
      <c r="D858" s="1">
        <v>4008</v>
      </c>
      <c r="E858" s="1">
        <v>11583</v>
      </c>
      <c r="F858" s="1">
        <v>22545</v>
      </c>
      <c r="G858" s="1" t="s">
        <v>54</v>
      </c>
      <c r="H858" s="1">
        <v>0.34026465</v>
      </c>
      <c r="I858" s="1">
        <v>0.236294896</v>
      </c>
      <c r="J858" s="1">
        <v>0.18525519800000001</v>
      </c>
      <c r="K858" s="1">
        <v>0.103969754</v>
      </c>
      <c r="L858" s="1">
        <v>0.13421550099999999</v>
      </c>
      <c r="M858" s="1" t="s">
        <v>16</v>
      </c>
      <c r="N858" s="1" t="s">
        <v>17</v>
      </c>
    </row>
    <row r="859" spans="1:14" ht="15.75" customHeight="1">
      <c r="A859" s="1">
        <v>0.75059747399999999</v>
      </c>
      <c r="B859" s="1">
        <v>1132</v>
      </c>
      <c r="C859" s="1">
        <v>23</v>
      </c>
      <c r="D859" s="1">
        <v>3424</v>
      </c>
      <c r="E859" s="1">
        <v>15956</v>
      </c>
      <c r="F859" s="1">
        <v>30286</v>
      </c>
      <c r="G859" s="1" t="s">
        <v>54</v>
      </c>
      <c r="H859" s="1">
        <v>0.286597938</v>
      </c>
      <c r="I859" s="1">
        <v>0.20206185600000001</v>
      </c>
      <c r="J859" s="1">
        <v>0.13814433000000001</v>
      </c>
      <c r="K859" s="1">
        <v>0.14845360799999999</v>
      </c>
      <c r="L859" s="1">
        <v>0.224742268</v>
      </c>
      <c r="M859" s="1" t="s">
        <v>16</v>
      </c>
      <c r="N859" s="1" t="s">
        <v>17</v>
      </c>
    </row>
    <row r="860" spans="1:14" ht="15.75" customHeight="1">
      <c r="A860" s="1">
        <v>0.94434137299999998</v>
      </c>
      <c r="B860" s="1">
        <v>1050</v>
      </c>
      <c r="C860" s="1">
        <v>20</v>
      </c>
      <c r="D860" s="1">
        <v>1935</v>
      </c>
      <c r="E860" s="1">
        <v>9000</v>
      </c>
      <c r="F860" s="1">
        <v>12100</v>
      </c>
      <c r="G860" s="1" t="s">
        <v>54</v>
      </c>
      <c r="H860" s="1">
        <v>0.22047244099999999</v>
      </c>
      <c r="I860" s="1">
        <v>0.11023622</v>
      </c>
      <c r="J860" s="1">
        <v>0.216535433</v>
      </c>
      <c r="K860" s="1">
        <v>0.19291338599999999</v>
      </c>
      <c r="L860" s="1">
        <v>0.25984252000000002</v>
      </c>
      <c r="M860" s="1" t="s">
        <v>16</v>
      </c>
      <c r="N860" s="1" t="s">
        <v>17</v>
      </c>
    </row>
    <row r="861" spans="1:14" ht="15.75" customHeight="1">
      <c r="A861" s="1">
        <v>0.97874493900000004</v>
      </c>
      <c r="B861" s="1">
        <v>1129</v>
      </c>
      <c r="C861" s="1">
        <v>22</v>
      </c>
      <c r="D861" s="1">
        <v>1969</v>
      </c>
      <c r="E861" s="1">
        <v>9633</v>
      </c>
      <c r="F861" s="1">
        <v>12735</v>
      </c>
      <c r="G861" s="1" t="s">
        <v>54</v>
      </c>
      <c r="H861" s="1">
        <v>0.18333333299999999</v>
      </c>
      <c r="I861" s="1">
        <v>0.12222222200000001</v>
      </c>
      <c r="J861" s="1">
        <v>0.161111111</v>
      </c>
      <c r="K861" s="1">
        <v>0.22777777799999999</v>
      </c>
      <c r="L861" s="1">
        <v>0.30555555600000001</v>
      </c>
      <c r="M861" s="1" t="s">
        <v>16</v>
      </c>
      <c r="N861" s="1" t="s">
        <v>17</v>
      </c>
    </row>
    <row r="862" spans="1:14" ht="15.75" customHeight="1">
      <c r="A862" s="1">
        <v>0.92791127500000004</v>
      </c>
      <c r="B862" s="1">
        <v>1090</v>
      </c>
      <c r="C862" s="1">
        <v>21</v>
      </c>
      <c r="D862" s="1">
        <v>1239</v>
      </c>
      <c r="E862" s="1">
        <v>8845</v>
      </c>
      <c r="F862" s="1">
        <v>11947</v>
      </c>
      <c r="G862" s="1" t="s">
        <v>54</v>
      </c>
      <c r="H862" s="1">
        <v>0.19631901800000001</v>
      </c>
      <c r="I862" s="1">
        <v>9.2024540000000002E-2</v>
      </c>
      <c r="J862" s="1">
        <v>0.134969325</v>
      </c>
      <c r="K862" s="1">
        <v>0.239263804</v>
      </c>
      <c r="L862" s="1">
        <v>0.337423313</v>
      </c>
      <c r="M862" s="1" t="s">
        <v>16</v>
      </c>
      <c r="N862" s="1" t="s">
        <v>17</v>
      </c>
    </row>
    <row r="863" spans="1:14" ht="15.75" customHeight="1">
      <c r="A863" s="1">
        <v>0.85250162399999996</v>
      </c>
      <c r="B863" s="1">
        <v>1245</v>
      </c>
      <c r="C863" s="1">
        <v>26</v>
      </c>
      <c r="D863" s="1">
        <v>2042</v>
      </c>
      <c r="E863" s="1">
        <v>10400</v>
      </c>
      <c r="F863" s="1">
        <v>14800</v>
      </c>
      <c r="G863" s="1" t="s">
        <v>54</v>
      </c>
      <c r="H863" s="1">
        <v>0.13877550999999999</v>
      </c>
      <c r="I863" s="1">
        <v>6.1224489999999999E-2</v>
      </c>
      <c r="J863" s="1">
        <v>0.2</v>
      </c>
      <c r="K863" s="1">
        <v>0.21224489799999999</v>
      </c>
      <c r="L863" s="1">
        <v>0.38775510200000002</v>
      </c>
      <c r="M863" s="1" t="s">
        <v>16</v>
      </c>
      <c r="N863" s="1" t="s">
        <v>17</v>
      </c>
    </row>
    <row r="864" spans="1:14" ht="15.75" customHeight="1">
      <c r="A864" s="1">
        <v>0.98708361700000002</v>
      </c>
      <c r="B864" s="1">
        <v>1121</v>
      </c>
      <c r="C864" s="1">
        <v>22</v>
      </c>
      <c r="D864" s="1">
        <v>8798</v>
      </c>
      <c r="E864" s="1">
        <v>9299</v>
      </c>
      <c r="F864" s="1">
        <v>12809</v>
      </c>
      <c r="G864" s="1" t="s">
        <v>54</v>
      </c>
      <c r="H864" s="1">
        <v>0.109090909</v>
      </c>
      <c r="I864" s="1">
        <v>9.8989899000000006E-2</v>
      </c>
      <c r="J864" s="1">
        <v>0.137373737</v>
      </c>
      <c r="K864" s="1">
        <v>0.21010101</v>
      </c>
      <c r="L864" s="1">
        <v>0.44444444399999999</v>
      </c>
      <c r="M864" s="1" t="s">
        <v>16</v>
      </c>
      <c r="N864" s="1" t="s">
        <v>17</v>
      </c>
    </row>
    <row r="865" spans="1:14" ht="15.75" customHeight="1">
      <c r="A865" s="1">
        <v>0.98953075300000004</v>
      </c>
      <c r="B865" s="1">
        <v>1122</v>
      </c>
      <c r="C865" s="1">
        <v>22</v>
      </c>
      <c r="D865" s="1">
        <v>5239</v>
      </c>
      <c r="E865" s="1">
        <v>9432</v>
      </c>
      <c r="F865" s="1">
        <v>12942</v>
      </c>
      <c r="G865" s="1" t="s">
        <v>54</v>
      </c>
      <c r="H865" s="1">
        <v>0.15286624200000001</v>
      </c>
      <c r="I865" s="1">
        <v>0.11592356700000001</v>
      </c>
      <c r="J865" s="1">
        <v>0.17070063699999999</v>
      </c>
      <c r="K865" s="1">
        <v>0.160509554</v>
      </c>
      <c r="L865" s="1">
        <v>0.4</v>
      </c>
      <c r="M865" s="1" t="s">
        <v>16</v>
      </c>
      <c r="N865" s="1" t="s">
        <v>17</v>
      </c>
    </row>
    <row r="866" spans="1:14" ht="15.75" customHeight="1">
      <c r="A866" s="1">
        <v>0.95952509399999997</v>
      </c>
      <c r="B866" s="1">
        <v>1050</v>
      </c>
      <c r="C866" s="1">
        <v>20</v>
      </c>
      <c r="D866" s="1">
        <v>7365</v>
      </c>
      <c r="E866" s="1">
        <v>8675</v>
      </c>
      <c r="F866" s="1">
        <v>14219</v>
      </c>
      <c r="G866" s="1" t="s">
        <v>54</v>
      </c>
      <c r="H866" s="1">
        <v>0.37693222399999998</v>
      </c>
      <c r="I866" s="1">
        <v>0.200951249</v>
      </c>
      <c r="J866" s="1">
        <v>0.21878715800000001</v>
      </c>
      <c r="K866" s="1">
        <v>0.10107015499999999</v>
      </c>
      <c r="L866" s="1">
        <v>0.102259215</v>
      </c>
      <c r="M866" s="1" t="s">
        <v>16</v>
      </c>
      <c r="N866" s="1" t="s">
        <v>17</v>
      </c>
    </row>
    <row r="867" spans="1:14" ht="15.75" customHeight="1">
      <c r="A867" s="1">
        <v>0.870645259</v>
      </c>
      <c r="B867" s="1">
        <v>1114</v>
      </c>
      <c r="C867" s="1">
        <v>22</v>
      </c>
      <c r="D867" s="1">
        <v>9807</v>
      </c>
      <c r="E867" s="1">
        <v>9950</v>
      </c>
      <c r="F867" s="1">
        <v>13790</v>
      </c>
      <c r="G867" s="1" t="s">
        <v>54</v>
      </c>
      <c r="H867" s="1">
        <v>0.36568627500000001</v>
      </c>
      <c r="I867" s="1">
        <v>0.209803922</v>
      </c>
      <c r="J867" s="1">
        <v>0.15392156900000001</v>
      </c>
      <c r="K867" s="1">
        <v>0.12254901999999999</v>
      </c>
      <c r="L867" s="1">
        <v>0.148039216</v>
      </c>
      <c r="M867" s="1" t="s">
        <v>16</v>
      </c>
      <c r="N867" s="1" t="s">
        <v>17</v>
      </c>
    </row>
    <row r="868" spans="1:14" ht="15.75" customHeight="1">
      <c r="A868" s="1">
        <v>0.82707993499999999</v>
      </c>
      <c r="B868" s="1">
        <v>1088</v>
      </c>
      <c r="C868" s="1">
        <v>21</v>
      </c>
      <c r="D868" s="1">
        <v>827</v>
      </c>
      <c r="E868" s="1">
        <v>10506</v>
      </c>
      <c r="F868" s="1">
        <v>10506</v>
      </c>
      <c r="G868" s="1" t="s">
        <v>54</v>
      </c>
      <c r="H868" s="1">
        <v>0.27272727299999999</v>
      </c>
      <c r="I868" s="1">
        <v>0.143939394</v>
      </c>
      <c r="J868" s="1">
        <v>0.15151515199999999</v>
      </c>
      <c r="K868" s="1">
        <v>0.196969697</v>
      </c>
      <c r="L868" s="1">
        <v>0.234848485</v>
      </c>
      <c r="M868" s="1" t="s">
        <v>16</v>
      </c>
      <c r="N868" s="1" t="s">
        <v>17</v>
      </c>
    </row>
    <row r="869" spans="1:14" ht="15.75" customHeight="1">
      <c r="A869" s="1">
        <v>0.93382352899999999</v>
      </c>
      <c r="B869" s="1">
        <v>1051</v>
      </c>
      <c r="C869" s="1">
        <v>20</v>
      </c>
      <c r="D869" s="1">
        <v>13645</v>
      </c>
      <c r="E869" s="1">
        <v>10344</v>
      </c>
      <c r="F869" s="1">
        <v>14784</v>
      </c>
      <c r="G869" s="1" t="s">
        <v>54</v>
      </c>
      <c r="H869" s="1">
        <v>0.44892473100000002</v>
      </c>
      <c r="I869" s="1">
        <v>0.23252688199999999</v>
      </c>
      <c r="J869" s="1">
        <v>0.13978494599999999</v>
      </c>
      <c r="K869" s="1">
        <v>8.8709677000000001E-2</v>
      </c>
      <c r="L869" s="1">
        <v>9.0053762999999995E-2</v>
      </c>
      <c r="M869" s="1" t="s">
        <v>16</v>
      </c>
      <c r="N869" s="1" t="s">
        <v>17</v>
      </c>
    </row>
    <row r="870" spans="1:14" ht="15.75" customHeight="1">
      <c r="A870" s="1">
        <v>0.68001083799999995</v>
      </c>
      <c r="B870" s="1">
        <v>1119</v>
      </c>
      <c r="C870" s="1">
        <v>22</v>
      </c>
      <c r="D870" s="1">
        <v>16115</v>
      </c>
      <c r="E870" s="1">
        <v>9506</v>
      </c>
      <c r="F870" s="1">
        <v>29042</v>
      </c>
      <c r="G870" s="1" t="s">
        <v>54</v>
      </c>
      <c r="H870" s="1">
        <v>0.26683608599999997</v>
      </c>
      <c r="I870" s="1">
        <v>0.18805590899999999</v>
      </c>
      <c r="J870" s="1">
        <v>0.19567979699999999</v>
      </c>
      <c r="K870" s="1">
        <v>0.146759848</v>
      </c>
      <c r="L870" s="1">
        <v>0.20266836099999999</v>
      </c>
      <c r="M870" s="1" t="s">
        <v>16</v>
      </c>
      <c r="N870" s="1" t="s">
        <v>17</v>
      </c>
    </row>
    <row r="871" spans="1:14" ht="15.75" customHeight="1">
      <c r="A871" s="1">
        <v>0.770228672</v>
      </c>
      <c r="B871" s="1">
        <v>1117</v>
      </c>
      <c r="C871" s="1">
        <v>22</v>
      </c>
      <c r="D871" s="1">
        <v>9878</v>
      </c>
      <c r="E871" s="1">
        <v>10144</v>
      </c>
      <c r="F871" s="1">
        <v>18208</v>
      </c>
      <c r="G871" s="1" t="s">
        <v>54</v>
      </c>
      <c r="H871" s="1">
        <v>0.23695466200000001</v>
      </c>
      <c r="I871" s="1">
        <v>0.18306244699999999</v>
      </c>
      <c r="J871" s="1">
        <v>0.18391787900000001</v>
      </c>
      <c r="K871" s="1">
        <v>0.12574850300000001</v>
      </c>
      <c r="L871" s="1">
        <v>0.27031651000000001</v>
      </c>
      <c r="M871" s="1" t="s">
        <v>16</v>
      </c>
      <c r="N871" s="1" t="s">
        <v>17</v>
      </c>
    </row>
    <row r="872" spans="1:14" ht="15.75" customHeight="1">
      <c r="A872" s="1">
        <v>0.45993107300000002</v>
      </c>
      <c r="B872" s="1">
        <v>1304</v>
      </c>
      <c r="C872" s="1">
        <v>28</v>
      </c>
      <c r="D872" s="1">
        <v>28763</v>
      </c>
      <c r="E872" s="1">
        <v>13484</v>
      </c>
      <c r="F872" s="1">
        <v>31974</v>
      </c>
      <c r="G872" s="1" t="s">
        <v>54</v>
      </c>
      <c r="H872" s="1">
        <v>0.23861047799999999</v>
      </c>
      <c r="I872" s="1">
        <v>0.176537585</v>
      </c>
      <c r="J872" s="1">
        <v>0.14635535299999999</v>
      </c>
      <c r="K872" s="1">
        <v>0.13382687900000001</v>
      </c>
      <c r="L872" s="1">
        <v>0.30466970399999999</v>
      </c>
      <c r="M872" s="1" t="s">
        <v>16</v>
      </c>
      <c r="N872" s="1" t="s">
        <v>17</v>
      </c>
    </row>
    <row r="873" spans="1:14" ht="15.75" customHeight="1">
      <c r="A873" s="1">
        <v>0.87324485500000004</v>
      </c>
      <c r="B873" s="1">
        <v>1090</v>
      </c>
      <c r="C873" s="1">
        <v>21</v>
      </c>
      <c r="D873" s="1">
        <v>4600</v>
      </c>
      <c r="E873" s="1">
        <v>10208</v>
      </c>
      <c r="F873" s="1">
        <v>16248</v>
      </c>
      <c r="G873" s="1" t="s">
        <v>54</v>
      </c>
      <c r="H873" s="1">
        <v>0.34022038599999999</v>
      </c>
      <c r="I873" s="1">
        <v>0.23553719000000001</v>
      </c>
      <c r="J873" s="1">
        <v>0.16666666699999999</v>
      </c>
      <c r="K873" s="1">
        <v>0.12947658400000001</v>
      </c>
      <c r="L873" s="1">
        <v>0.12809917400000001</v>
      </c>
      <c r="M873" s="1" t="s">
        <v>16</v>
      </c>
      <c r="N873" s="1" t="s">
        <v>17</v>
      </c>
    </row>
    <row r="874" spans="1:14" ht="15.75" customHeight="1">
      <c r="A874" s="1">
        <v>0.92629945700000005</v>
      </c>
      <c r="B874" s="1">
        <v>1017</v>
      </c>
      <c r="C874" s="1">
        <v>19</v>
      </c>
      <c r="D874" s="1">
        <v>6498</v>
      </c>
      <c r="E874" s="1">
        <v>8568</v>
      </c>
      <c r="F874" s="1">
        <v>22284</v>
      </c>
      <c r="G874" s="1" t="s">
        <v>54</v>
      </c>
      <c r="H874" s="1">
        <v>0.46177686000000001</v>
      </c>
      <c r="I874" s="1">
        <v>0.30475206599999999</v>
      </c>
      <c r="J874" s="1">
        <v>0.17975206599999999</v>
      </c>
      <c r="K874" s="1">
        <v>3.6157025000000002E-2</v>
      </c>
      <c r="L874" s="1">
        <v>1.7561983E-2</v>
      </c>
      <c r="M874" s="1" t="s">
        <v>16</v>
      </c>
      <c r="N874" s="1" t="s">
        <v>17</v>
      </c>
    </row>
    <row r="875" spans="1:14" ht="15.75" customHeight="1">
      <c r="A875" s="1">
        <v>0.83162334699999996</v>
      </c>
      <c r="B875" s="1">
        <v>1148</v>
      </c>
      <c r="C875" s="1">
        <v>23</v>
      </c>
      <c r="D875" s="1">
        <v>8495</v>
      </c>
      <c r="E875" s="1">
        <v>10084</v>
      </c>
      <c r="F875" s="1">
        <v>20116</v>
      </c>
      <c r="G875" s="1" t="s">
        <v>54</v>
      </c>
      <c r="H875" s="1">
        <v>0.24224643800000001</v>
      </c>
      <c r="I875" s="1">
        <v>0.16010058699999999</v>
      </c>
      <c r="J875" s="1">
        <v>0.20871751899999999</v>
      </c>
      <c r="K875" s="1">
        <v>0.14417435000000001</v>
      </c>
      <c r="L875" s="1">
        <v>0.24476110600000001</v>
      </c>
      <c r="M875" s="1" t="s">
        <v>16</v>
      </c>
      <c r="N875" s="1" t="s">
        <v>17</v>
      </c>
    </row>
    <row r="876" spans="1:14" ht="15.75" customHeight="1">
      <c r="A876" s="1">
        <v>0.79227467799999995</v>
      </c>
      <c r="B876" s="1">
        <v>1049</v>
      </c>
      <c r="C876" s="1">
        <v>21</v>
      </c>
      <c r="D876" s="1">
        <v>5515</v>
      </c>
      <c r="E876" s="1">
        <v>8319</v>
      </c>
      <c r="F876" s="1">
        <v>18399</v>
      </c>
      <c r="G876" s="1" t="s">
        <v>54</v>
      </c>
      <c r="H876" s="1">
        <v>0.344322344</v>
      </c>
      <c r="I876" s="1">
        <v>0.23321123299999999</v>
      </c>
      <c r="J876" s="1">
        <v>0.15995116000000001</v>
      </c>
      <c r="K876" s="1">
        <v>0.11721611699999999</v>
      </c>
      <c r="L876" s="1">
        <v>0.14529914499999999</v>
      </c>
      <c r="M876" s="1" t="s">
        <v>16</v>
      </c>
      <c r="N876" s="1" t="s">
        <v>17</v>
      </c>
    </row>
    <row r="877" spans="1:14" ht="15.75" customHeight="1">
      <c r="A877" s="1">
        <v>0.89470726</v>
      </c>
      <c r="B877" s="1">
        <v>1086</v>
      </c>
      <c r="C877" s="1">
        <v>22</v>
      </c>
      <c r="D877" s="1">
        <v>7804</v>
      </c>
      <c r="E877" s="1">
        <v>9748</v>
      </c>
      <c r="F877" s="1">
        <v>21033</v>
      </c>
      <c r="G877" s="1" t="s">
        <v>54</v>
      </c>
      <c r="H877" s="1">
        <v>0.315102041</v>
      </c>
      <c r="I877" s="1">
        <v>0.17714285699999999</v>
      </c>
      <c r="J877" s="1">
        <v>0.18040816300000001</v>
      </c>
      <c r="K877" s="1">
        <v>0.12326530600000001</v>
      </c>
      <c r="L877" s="1">
        <v>0.20408163300000001</v>
      </c>
      <c r="M877" s="1" t="s">
        <v>16</v>
      </c>
      <c r="N877" s="1" t="s">
        <v>17</v>
      </c>
    </row>
    <row r="878" spans="1:14" ht="15.75" customHeight="1">
      <c r="A878" s="1">
        <v>0.80188679200000001</v>
      </c>
      <c r="B878" s="1">
        <v>1006</v>
      </c>
      <c r="C878" s="1">
        <v>19</v>
      </c>
      <c r="D878" s="1">
        <v>1748</v>
      </c>
      <c r="E878" s="1">
        <v>7930</v>
      </c>
      <c r="F878" s="1">
        <v>20947</v>
      </c>
      <c r="G878" s="1" t="s">
        <v>54</v>
      </c>
      <c r="H878" s="1">
        <v>0.38797814200000003</v>
      </c>
      <c r="I878" s="1">
        <v>0.158469945</v>
      </c>
      <c r="J878" s="1">
        <v>0.136612022</v>
      </c>
      <c r="K878" s="1">
        <v>0.16939890699999999</v>
      </c>
      <c r="L878" s="1">
        <v>0.14754098399999999</v>
      </c>
      <c r="M878" s="1" t="s">
        <v>16</v>
      </c>
      <c r="N878" s="1" t="s">
        <v>17</v>
      </c>
    </row>
    <row r="879" spans="1:14" ht="15.75" customHeight="1">
      <c r="A879" s="1">
        <v>0.92588992800000003</v>
      </c>
      <c r="B879" s="1">
        <v>1067</v>
      </c>
      <c r="C879" s="1">
        <v>21</v>
      </c>
      <c r="D879" s="1">
        <v>8249</v>
      </c>
      <c r="E879" s="1">
        <v>10026</v>
      </c>
      <c r="F879" s="1">
        <v>22626</v>
      </c>
      <c r="G879" s="1" t="s">
        <v>54</v>
      </c>
      <c r="H879" s="1">
        <v>0.37142857099999999</v>
      </c>
      <c r="I879" s="1">
        <v>0.22380952400000001</v>
      </c>
      <c r="J879" s="1">
        <v>0.20317460300000001</v>
      </c>
      <c r="K879" s="1">
        <v>8.7301587E-2</v>
      </c>
      <c r="L879" s="1">
        <v>0.114285714</v>
      </c>
      <c r="M879" s="1" t="s">
        <v>16</v>
      </c>
      <c r="N879" s="1" t="s">
        <v>17</v>
      </c>
    </row>
    <row r="880" spans="1:14" ht="15.75" customHeight="1">
      <c r="A880" s="1">
        <v>0.75298126099999996</v>
      </c>
      <c r="B880" s="1">
        <v>1105</v>
      </c>
      <c r="C880" s="1">
        <v>20</v>
      </c>
      <c r="D880" s="1">
        <v>6082</v>
      </c>
      <c r="E880" s="1">
        <v>7746</v>
      </c>
      <c r="F880" s="1">
        <v>21330</v>
      </c>
      <c r="G880" s="1" t="s">
        <v>54</v>
      </c>
      <c r="H880" s="1">
        <v>0.36158192099999997</v>
      </c>
      <c r="I880" s="1">
        <v>0.197740113</v>
      </c>
      <c r="J880" s="1">
        <v>0.22033898299999999</v>
      </c>
      <c r="K880" s="1">
        <v>8.4745763000000002E-2</v>
      </c>
      <c r="L880" s="1">
        <v>0.13559321999999999</v>
      </c>
      <c r="M880" s="1" t="s">
        <v>16</v>
      </c>
      <c r="N880" s="1" t="s">
        <v>17</v>
      </c>
    </row>
    <row r="881" spans="1:14" ht="15.75" customHeight="1">
      <c r="A881" s="1">
        <v>0.90637135000000002</v>
      </c>
      <c r="B881" s="1">
        <v>1041</v>
      </c>
      <c r="C881" s="1">
        <v>20</v>
      </c>
      <c r="D881" s="1">
        <v>12812</v>
      </c>
      <c r="E881" s="1">
        <v>7708</v>
      </c>
      <c r="F881" s="1">
        <v>17788</v>
      </c>
      <c r="G881" s="1" t="s">
        <v>54</v>
      </c>
      <c r="H881" s="1">
        <v>0.50555555600000002</v>
      </c>
      <c r="I881" s="1">
        <v>0.25</v>
      </c>
      <c r="J881" s="1">
        <v>0.17222222200000001</v>
      </c>
      <c r="K881" s="1">
        <v>3.8888889000000003E-2</v>
      </c>
      <c r="L881" s="1">
        <v>3.3333333E-2</v>
      </c>
      <c r="M881" s="1" t="s">
        <v>16</v>
      </c>
      <c r="N881" s="1" t="s">
        <v>17</v>
      </c>
    </row>
    <row r="882" spans="1:14" ht="15.75" customHeight="1">
      <c r="A882" s="1">
        <v>0.76714513600000001</v>
      </c>
      <c r="B882" s="1">
        <v>1085</v>
      </c>
      <c r="C882" s="1">
        <v>20</v>
      </c>
      <c r="D882" s="1">
        <v>2630</v>
      </c>
      <c r="E882" s="1">
        <v>7499</v>
      </c>
      <c r="F882" s="1">
        <v>17291</v>
      </c>
      <c r="G882" s="1" t="s">
        <v>54</v>
      </c>
      <c r="H882" s="1">
        <v>0.41111111099999997</v>
      </c>
      <c r="I882" s="1">
        <v>0.21111111099999999</v>
      </c>
      <c r="J882" s="1">
        <v>0.2</v>
      </c>
      <c r="K882" s="1">
        <v>7.7777778000000006E-2</v>
      </c>
      <c r="L882" s="1">
        <v>0.1</v>
      </c>
      <c r="M882" s="1" t="s">
        <v>16</v>
      </c>
      <c r="N882" s="1" t="s">
        <v>17</v>
      </c>
    </row>
    <row r="883" spans="1:14" ht="15.75" customHeight="1">
      <c r="A883" s="1">
        <v>0.69532100100000005</v>
      </c>
      <c r="B883" s="1">
        <v>1229</v>
      </c>
      <c r="C883" s="1">
        <v>25</v>
      </c>
      <c r="D883" s="1">
        <v>37175</v>
      </c>
      <c r="E883" s="1">
        <v>9711</v>
      </c>
      <c r="F883" s="1">
        <v>22191</v>
      </c>
      <c r="G883" s="1" t="s">
        <v>54</v>
      </c>
      <c r="H883" s="1">
        <v>0.33376665599999999</v>
      </c>
      <c r="I883" s="1">
        <v>0.215794605</v>
      </c>
      <c r="J883" s="1">
        <v>0.18102047399999999</v>
      </c>
      <c r="K883" s="1">
        <v>0.105947351</v>
      </c>
      <c r="L883" s="1">
        <v>0.163470913</v>
      </c>
      <c r="M883" s="1" t="s">
        <v>16</v>
      </c>
      <c r="N883" s="1" t="s">
        <v>17</v>
      </c>
    </row>
    <row r="884" spans="1:14" ht="15.75" customHeight="1">
      <c r="A884" s="1">
        <v>0.85730057999999998</v>
      </c>
      <c r="B884" s="1">
        <v>1040</v>
      </c>
      <c r="C884" s="1">
        <v>22</v>
      </c>
      <c r="D884" s="1">
        <v>7945</v>
      </c>
      <c r="E884" s="1">
        <v>8690</v>
      </c>
      <c r="F884" s="1">
        <v>18482</v>
      </c>
      <c r="G884" s="1" t="s">
        <v>54</v>
      </c>
      <c r="H884" s="1">
        <v>0.46474358999999998</v>
      </c>
      <c r="I884" s="1">
        <v>0.21581196599999999</v>
      </c>
      <c r="J884" s="1">
        <v>0.158119658</v>
      </c>
      <c r="K884" s="1">
        <v>6.1965812000000002E-2</v>
      </c>
      <c r="L884" s="1">
        <v>9.9358974000000003E-2</v>
      </c>
      <c r="M884" s="1" t="s">
        <v>16</v>
      </c>
      <c r="N884" s="1" t="s">
        <v>17</v>
      </c>
    </row>
    <row r="885" spans="1:14" ht="15.75" customHeight="1">
      <c r="A885" s="1">
        <v>0.45962209700000001</v>
      </c>
      <c r="B885" s="1">
        <v>1008</v>
      </c>
      <c r="C885" s="1">
        <v>17</v>
      </c>
      <c r="D885" s="1">
        <v>6502</v>
      </c>
      <c r="E885" s="1">
        <v>7846</v>
      </c>
      <c r="F885" s="1">
        <v>19382</v>
      </c>
      <c r="G885" s="1" t="s">
        <v>54</v>
      </c>
      <c r="H885" s="1">
        <v>0.54700000000000004</v>
      </c>
      <c r="I885" s="1">
        <v>0.216</v>
      </c>
      <c r="J885" s="1">
        <v>0.155</v>
      </c>
      <c r="K885" s="1">
        <v>4.2000000000000003E-2</v>
      </c>
      <c r="L885" s="1">
        <v>0.04</v>
      </c>
      <c r="M885" s="1" t="s">
        <v>16</v>
      </c>
      <c r="N885" s="1" t="s">
        <v>17</v>
      </c>
    </row>
    <row r="886" spans="1:14" ht="15.75" customHeight="1">
      <c r="A886" s="1">
        <v>0.72461759999999997</v>
      </c>
      <c r="B886" s="1">
        <v>1109</v>
      </c>
      <c r="C886" s="1">
        <v>23</v>
      </c>
      <c r="D886" s="1">
        <v>33680</v>
      </c>
      <c r="E886" s="1">
        <v>11164</v>
      </c>
      <c r="F886" s="1">
        <v>21244</v>
      </c>
      <c r="G886" s="1" t="s">
        <v>54</v>
      </c>
      <c r="H886" s="1">
        <v>0.32755985700000001</v>
      </c>
      <c r="I886" s="1">
        <v>0.18772287300000001</v>
      </c>
      <c r="J886" s="1">
        <v>0.18390219099999999</v>
      </c>
      <c r="K886" s="1">
        <v>0.119205298</v>
      </c>
      <c r="L886" s="1">
        <v>0.181609781</v>
      </c>
      <c r="M886" s="1" t="s">
        <v>16</v>
      </c>
      <c r="N886" s="1" t="s">
        <v>17</v>
      </c>
    </row>
    <row r="887" spans="1:14" ht="15.75" customHeight="1">
      <c r="A887" s="1">
        <v>0.84817604499999999</v>
      </c>
      <c r="B887" s="1">
        <v>1020</v>
      </c>
      <c r="C887" s="1">
        <v>19</v>
      </c>
      <c r="D887" s="1">
        <v>27026</v>
      </c>
      <c r="E887" s="1">
        <v>9859</v>
      </c>
      <c r="F887" s="1">
        <v>19939</v>
      </c>
      <c r="G887" s="1" t="s">
        <v>54</v>
      </c>
      <c r="H887" s="1">
        <v>0.52374340500000005</v>
      </c>
      <c r="I887" s="1">
        <v>0.223271314</v>
      </c>
      <c r="J887" s="1">
        <v>0.15745626200000001</v>
      </c>
      <c r="K887" s="1">
        <v>5.8872534999999997E-2</v>
      </c>
      <c r="L887" s="1">
        <v>3.6656484000000003E-2</v>
      </c>
      <c r="M887" s="1" t="s">
        <v>16</v>
      </c>
      <c r="N887" s="1" t="s">
        <v>17</v>
      </c>
    </row>
    <row r="888" spans="1:14" ht="15.75" customHeight="1">
      <c r="A888" s="1">
        <v>0.752990771</v>
      </c>
      <c r="B888" s="1">
        <v>949</v>
      </c>
      <c r="C888" s="1">
        <v>18</v>
      </c>
      <c r="D888" s="1">
        <v>8527</v>
      </c>
      <c r="E888" s="1">
        <v>11299</v>
      </c>
      <c r="F888" s="1">
        <v>26874</v>
      </c>
      <c r="G888" s="1" t="s">
        <v>54</v>
      </c>
      <c r="H888" s="1">
        <v>0.37047756900000001</v>
      </c>
      <c r="I888" s="1">
        <v>0.21635311099999999</v>
      </c>
      <c r="J888" s="1">
        <v>0.19030390699999999</v>
      </c>
      <c r="K888" s="1">
        <v>0.115050651</v>
      </c>
      <c r="L888" s="1">
        <v>0.107814761</v>
      </c>
      <c r="M888" s="1" t="s">
        <v>16</v>
      </c>
      <c r="N888" s="1" t="s">
        <v>17</v>
      </c>
    </row>
    <row r="889" spans="1:14" ht="15.75" customHeight="1">
      <c r="A889" s="1">
        <v>0.85394153100000003</v>
      </c>
      <c r="B889" s="1">
        <v>1055</v>
      </c>
      <c r="C889" s="1">
        <v>21</v>
      </c>
      <c r="D889" s="1">
        <v>18138</v>
      </c>
      <c r="E889" s="1">
        <v>9228</v>
      </c>
      <c r="F889" s="1">
        <v>19020</v>
      </c>
      <c r="G889" s="1" t="s">
        <v>54</v>
      </c>
      <c r="H889" s="1">
        <v>0.31264367799999998</v>
      </c>
      <c r="I889" s="1">
        <v>0.18528735599999999</v>
      </c>
      <c r="J889" s="1">
        <v>0.182068966</v>
      </c>
      <c r="K889" s="1">
        <v>0.12045976999999999</v>
      </c>
      <c r="L889" s="1">
        <v>0.19954023000000001</v>
      </c>
      <c r="M889" s="1" t="s">
        <v>16</v>
      </c>
      <c r="N889" s="1" t="s">
        <v>17</v>
      </c>
    </row>
    <row r="890" spans="1:14" ht="15.75" customHeight="1">
      <c r="A890" s="1">
        <v>0.88253514399999999</v>
      </c>
      <c r="B890" s="1">
        <v>1074</v>
      </c>
      <c r="C890" s="1">
        <v>21</v>
      </c>
      <c r="D890" s="1">
        <v>8746</v>
      </c>
      <c r="E890" s="1">
        <v>10600</v>
      </c>
      <c r="F890" s="1">
        <v>20680</v>
      </c>
      <c r="G890" s="1" t="s">
        <v>54</v>
      </c>
      <c r="H890" s="1">
        <v>0.30354131499999998</v>
      </c>
      <c r="I890" s="1">
        <v>0.17622259700000001</v>
      </c>
      <c r="J890" s="1">
        <v>0.16526138300000001</v>
      </c>
      <c r="K890" s="1">
        <v>0.13490725100000001</v>
      </c>
      <c r="L890" s="1">
        <v>0.220067454</v>
      </c>
      <c r="M890" s="1" t="s">
        <v>16</v>
      </c>
      <c r="N890" s="1" t="s">
        <v>17</v>
      </c>
    </row>
    <row r="891" spans="1:14" ht="15.75" customHeight="1">
      <c r="A891" s="1">
        <v>0.89484441800000003</v>
      </c>
      <c r="B891" s="1">
        <v>1093</v>
      </c>
      <c r="C891" s="1">
        <v>23</v>
      </c>
      <c r="D891" s="1">
        <v>34547</v>
      </c>
      <c r="E891" s="1">
        <v>11450</v>
      </c>
      <c r="F891" s="1">
        <v>23210</v>
      </c>
      <c r="G891" s="1" t="s">
        <v>54</v>
      </c>
      <c r="H891" s="1">
        <v>0.29175431200000002</v>
      </c>
      <c r="I891" s="1">
        <v>0.19646613399999999</v>
      </c>
      <c r="J891" s="1">
        <v>0.17437947000000001</v>
      </c>
      <c r="K891" s="1">
        <v>0.121581826</v>
      </c>
      <c r="L891" s="1">
        <v>0.21581825800000001</v>
      </c>
      <c r="M891" s="1" t="s">
        <v>16</v>
      </c>
      <c r="N891" s="1" t="s">
        <v>17</v>
      </c>
    </row>
    <row r="892" spans="1:14" ht="15.75" customHeight="1">
      <c r="A892" s="1">
        <v>0.95619757699999997</v>
      </c>
      <c r="B892" s="1">
        <v>984</v>
      </c>
      <c r="C892" s="1">
        <v>15</v>
      </c>
      <c r="D892" s="1">
        <v>1378</v>
      </c>
      <c r="E892" s="1">
        <v>7592</v>
      </c>
      <c r="F892" s="1">
        <v>17384</v>
      </c>
      <c r="G892" s="1" t="s">
        <v>54</v>
      </c>
      <c r="H892" s="1">
        <v>0.34911242599999998</v>
      </c>
      <c r="I892" s="1">
        <v>0.201183432</v>
      </c>
      <c r="J892" s="1">
        <v>0.207100592</v>
      </c>
      <c r="K892" s="1">
        <v>0.11242603599999999</v>
      </c>
      <c r="L892" s="1">
        <v>0.13017751499999999</v>
      </c>
      <c r="M892" s="1" t="s">
        <v>16</v>
      </c>
      <c r="N892" s="1" t="s">
        <v>17</v>
      </c>
    </row>
    <row r="893" spans="1:14" ht="15.75" customHeight="1">
      <c r="A893" s="1">
        <v>0.94203064299999995</v>
      </c>
      <c r="B893" s="1">
        <v>1068</v>
      </c>
      <c r="C893" s="1">
        <v>21</v>
      </c>
      <c r="D893" s="1">
        <v>12263</v>
      </c>
      <c r="E893" s="1">
        <v>7878</v>
      </c>
      <c r="F893" s="1">
        <v>17958</v>
      </c>
      <c r="G893" s="1" t="s">
        <v>54</v>
      </c>
      <c r="H893" s="1">
        <v>0.20662983400000001</v>
      </c>
      <c r="I893" s="1">
        <v>0.12983425400000001</v>
      </c>
      <c r="J893" s="1">
        <v>0.14475138100000001</v>
      </c>
      <c r="K893" s="1">
        <v>0.162430939</v>
      </c>
      <c r="L893" s="1">
        <v>0.35635359100000003</v>
      </c>
      <c r="M893" s="1" t="s">
        <v>16</v>
      </c>
      <c r="N893" s="1" t="s">
        <v>17</v>
      </c>
    </row>
    <row r="894" spans="1:14" ht="15.75" customHeight="1">
      <c r="A894" s="1">
        <v>0.81289457799999998</v>
      </c>
      <c r="B894" s="1">
        <v>1116</v>
      </c>
      <c r="C894" s="1">
        <v>23</v>
      </c>
      <c r="D894" s="1">
        <v>30834</v>
      </c>
      <c r="E894" s="1">
        <v>11728</v>
      </c>
      <c r="F894" s="1">
        <v>29660</v>
      </c>
      <c r="G894" s="1" t="s">
        <v>54</v>
      </c>
      <c r="H894" s="1">
        <v>0.33181818200000002</v>
      </c>
      <c r="I894" s="1">
        <v>0.25314685300000001</v>
      </c>
      <c r="J894" s="1">
        <v>0.21993007000000001</v>
      </c>
      <c r="K894" s="1">
        <v>8.8111887999999999E-2</v>
      </c>
      <c r="L894" s="1">
        <v>0.106993007</v>
      </c>
      <c r="M894" s="1" t="s">
        <v>16</v>
      </c>
      <c r="N894" s="1" t="s">
        <v>17</v>
      </c>
    </row>
    <row r="895" spans="1:14" ht="15.75" customHeight="1">
      <c r="A895" s="1">
        <v>0.65463461099999998</v>
      </c>
      <c r="B895" s="1">
        <v>1300</v>
      </c>
      <c r="C895" s="1">
        <v>29</v>
      </c>
      <c r="D895" s="1">
        <v>21317</v>
      </c>
      <c r="E895" s="1">
        <v>14564</v>
      </c>
      <c r="F895" s="1">
        <v>40064</v>
      </c>
      <c r="G895" s="1" t="s">
        <v>54</v>
      </c>
      <c r="H895" s="1">
        <v>0.232794734</v>
      </c>
      <c r="I895" s="1">
        <v>0.160981448</v>
      </c>
      <c r="J895" s="1">
        <v>0.19090365100000001</v>
      </c>
      <c r="K895" s="1">
        <v>0.132854578</v>
      </c>
      <c r="L895" s="1">
        <v>0.28246558900000002</v>
      </c>
      <c r="M895" s="1" t="s">
        <v>16</v>
      </c>
      <c r="N895" s="1" t="s">
        <v>17</v>
      </c>
    </row>
    <row r="896" spans="1:14" ht="15.75" customHeight="1">
      <c r="A896" s="1">
        <v>0.99901530699999996</v>
      </c>
      <c r="B896" s="1">
        <v>982</v>
      </c>
      <c r="C896" s="1">
        <v>20</v>
      </c>
      <c r="D896" s="1">
        <v>20547</v>
      </c>
      <c r="E896" s="1">
        <v>9744</v>
      </c>
      <c r="F896" s="1">
        <v>25512</v>
      </c>
      <c r="G896" s="1" t="s">
        <v>54</v>
      </c>
      <c r="H896" s="1">
        <v>0.50876424200000003</v>
      </c>
      <c r="I896" s="1">
        <v>0.21954425899999999</v>
      </c>
      <c r="J896" s="1">
        <v>0.160385627</v>
      </c>
      <c r="K896" s="1">
        <v>5.7405784000000001E-2</v>
      </c>
      <c r="L896" s="1">
        <v>5.3900087999999999E-2</v>
      </c>
      <c r="M896" s="1" t="s">
        <v>16</v>
      </c>
      <c r="N896" s="1" t="s">
        <v>17</v>
      </c>
    </row>
    <row r="897" spans="1:14" ht="15.75" customHeight="1">
      <c r="A897" s="1">
        <v>0.91541387399999996</v>
      </c>
      <c r="B897" s="1">
        <v>1113</v>
      </c>
      <c r="C897" s="1">
        <v>22</v>
      </c>
      <c r="D897" s="1">
        <v>7009</v>
      </c>
      <c r="E897" s="1">
        <v>9920</v>
      </c>
      <c r="F897" s="1">
        <v>25198</v>
      </c>
      <c r="G897" s="1" t="s">
        <v>54</v>
      </c>
      <c r="H897" s="1">
        <v>0.33854166699999999</v>
      </c>
      <c r="I897" s="1">
        <v>0.18576388899999999</v>
      </c>
      <c r="J897" s="1">
        <v>0.21875</v>
      </c>
      <c r="K897" s="1">
        <v>9.2013889000000001E-2</v>
      </c>
      <c r="L897" s="1">
        <v>0.16493055600000001</v>
      </c>
      <c r="M897" s="1" t="s">
        <v>16</v>
      </c>
      <c r="N897" s="1" t="s">
        <v>17</v>
      </c>
    </row>
    <row r="898" spans="1:14" ht="15.75" customHeight="1">
      <c r="A898" s="1">
        <v>0.84458672899999998</v>
      </c>
      <c r="B898" s="1">
        <v>1031</v>
      </c>
      <c r="C898" s="1">
        <v>17</v>
      </c>
      <c r="D898" s="1">
        <v>4122</v>
      </c>
      <c r="E898" s="1">
        <v>10904</v>
      </c>
      <c r="F898" s="1">
        <v>23212</v>
      </c>
      <c r="G898" s="1" t="s">
        <v>54</v>
      </c>
      <c r="H898" s="1">
        <v>0.40310077500000002</v>
      </c>
      <c r="I898" s="1">
        <v>0.20930232600000001</v>
      </c>
      <c r="J898" s="1">
        <v>0.201550388</v>
      </c>
      <c r="K898" s="1">
        <v>9.0439275999999999E-2</v>
      </c>
      <c r="L898" s="1">
        <v>9.5607234999999999E-2</v>
      </c>
      <c r="M898" s="1" t="s">
        <v>16</v>
      </c>
      <c r="N898" s="1" t="s">
        <v>17</v>
      </c>
    </row>
    <row r="899" spans="1:14" ht="15.75" customHeight="1">
      <c r="A899" s="1">
        <v>0.88456238600000003</v>
      </c>
      <c r="B899" s="1">
        <v>1102</v>
      </c>
      <c r="C899" s="1">
        <v>22</v>
      </c>
      <c r="D899" s="1">
        <v>29675</v>
      </c>
      <c r="E899" s="1">
        <v>8991</v>
      </c>
      <c r="F899" s="1">
        <v>21965</v>
      </c>
      <c r="G899" s="1" t="s">
        <v>54</v>
      </c>
      <c r="H899" s="1">
        <v>0.31519699800000001</v>
      </c>
      <c r="I899" s="1">
        <v>0.197310819</v>
      </c>
      <c r="J899" s="1">
        <v>0.20106316399999999</v>
      </c>
      <c r="K899" s="1">
        <v>0.107254534</v>
      </c>
      <c r="L899" s="1">
        <v>0.17917448399999999</v>
      </c>
      <c r="M899" s="1" t="s">
        <v>16</v>
      </c>
      <c r="N899" s="1" t="s">
        <v>17</v>
      </c>
    </row>
    <row r="900" spans="1:14" ht="15.75" customHeight="1">
      <c r="A900" s="1">
        <v>0.93351976599999997</v>
      </c>
      <c r="B900" s="1">
        <v>913</v>
      </c>
      <c r="C900" s="1">
        <v>17</v>
      </c>
      <c r="D900" s="1">
        <v>6619</v>
      </c>
      <c r="E900" s="1">
        <v>9173</v>
      </c>
      <c r="F900" s="1">
        <v>21773</v>
      </c>
      <c r="G900" s="1" t="s">
        <v>54</v>
      </c>
      <c r="H900" s="1">
        <v>0.98154477100000004</v>
      </c>
      <c r="I900" s="1">
        <v>1.2987013E-2</v>
      </c>
      <c r="J900" s="1">
        <v>5.4682159999999997E-3</v>
      </c>
      <c r="K900" s="1">
        <v>0</v>
      </c>
      <c r="L900" s="1">
        <v>0</v>
      </c>
      <c r="M900" s="1" t="s">
        <v>16</v>
      </c>
      <c r="N900" s="1" t="s">
        <v>17</v>
      </c>
    </row>
    <row r="901" spans="1:14" ht="15.75" customHeight="1">
      <c r="A901" s="1">
        <v>0.70887713100000005</v>
      </c>
      <c r="B901" s="1">
        <v>1182</v>
      </c>
      <c r="C901" s="1">
        <v>25</v>
      </c>
      <c r="D901" s="1">
        <v>32446</v>
      </c>
      <c r="E901" s="1">
        <v>11852</v>
      </c>
      <c r="F901" s="1">
        <v>24451</v>
      </c>
      <c r="G901" s="1" t="s">
        <v>54</v>
      </c>
      <c r="H901" s="1">
        <v>0.21484784900000001</v>
      </c>
      <c r="I901" s="1">
        <v>0.13431269700000001</v>
      </c>
      <c r="J901" s="1">
        <v>0.14454354699999999</v>
      </c>
      <c r="K901" s="1">
        <v>0.134050367</v>
      </c>
      <c r="L901" s="1">
        <v>0.37224553999999999</v>
      </c>
      <c r="M901" s="1" t="s">
        <v>16</v>
      </c>
      <c r="N901" s="1" t="s">
        <v>17</v>
      </c>
    </row>
    <row r="902" spans="1:14" ht="15.75" customHeight="1">
      <c r="A902" s="1">
        <v>0.973453177</v>
      </c>
      <c r="B902" s="1">
        <v>1072</v>
      </c>
      <c r="C902" s="1">
        <v>21</v>
      </c>
      <c r="D902" s="1">
        <v>6771</v>
      </c>
      <c r="E902" s="1">
        <v>9101</v>
      </c>
      <c r="F902" s="1">
        <v>10996</v>
      </c>
      <c r="G902" s="1" t="s">
        <v>54</v>
      </c>
      <c r="H902" s="1">
        <v>0.212981744</v>
      </c>
      <c r="I902" s="1">
        <v>0.12778904699999999</v>
      </c>
      <c r="J902" s="1">
        <v>0.186612576</v>
      </c>
      <c r="K902" s="1">
        <v>0.15517241400000001</v>
      </c>
      <c r="L902" s="1">
        <v>0.31744421900000003</v>
      </c>
      <c r="M902" s="1" t="s">
        <v>16</v>
      </c>
      <c r="N902" s="1" t="s">
        <v>17</v>
      </c>
    </row>
    <row r="903" spans="1:14" ht="15.75" customHeight="1">
      <c r="A903" s="1">
        <v>0.93616471000000001</v>
      </c>
      <c r="B903" s="1">
        <v>1189</v>
      </c>
      <c r="C903" s="1">
        <v>24</v>
      </c>
      <c r="D903" s="1">
        <v>20342</v>
      </c>
      <c r="E903" s="1">
        <v>9228</v>
      </c>
      <c r="F903" s="1">
        <v>24802</v>
      </c>
      <c r="G903" s="1" t="s">
        <v>54</v>
      </c>
      <c r="H903" s="1">
        <v>0.215189873</v>
      </c>
      <c r="I903" s="1">
        <v>0.15384615400000001</v>
      </c>
      <c r="J903" s="1">
        <v>0.21421616399999999</v>
      </c>
      <c r="K903" s="1">
        <v>0.203505355</v>
      </c>
      <c r="L903" s="1">
        <v>0.213242454</v>
      </c>
      <c r="M903" s="1" t="s">
        <v>16</v>
      </c>
      <c r="N903" s="1" t="s">
        <v>17</v>
      </c>
    </row>
    <row r="904" spans="1:14" ht="15.75" customHeight="1">
      <c r="A904" s="1">
        <v>0.87171681999999995</v>
      </c>
      <c r="B904" s="1">
        <v>1231</v>
      </c>
      <c r="C904" s="1">
        <v>25</v>
      </c>
      <c r="D904" s="1">
        <v>26041</v>
      </c>
      <c r="E904" s="1">
        <v>9315</v>
      </c>
      <c r="F904" s="1">
        <v>29837</v>
      </c>
      <c r="G904" s="1" t="s">
        <v>54</v>
      </c>
      <c r="H904" s="1">
        <v>0.27127211499999998</v>
      </c>
      <c r="I904" s="1">
        <v>0.16933445699999999</v>
      </c>
      <c r="J904" s="1">
        <v>0.22240943599999999</v>
      </c>
      <c r="K904" s="1">
        <v>0.123841618</v>
      </c>
      <c r="L904" s="1">
        <v>0.21314237599999999</v>
      </c>
      <c r="M904" s="1" t="s">
        <v>16</v>
      </c>
      <c r="N904" s="1" t="s">
        <v>17</v>
      </c>
    </row>
    <row r="905" spans="1:14" ht="15.75" customHeight="1">
      <c r="A905" s="1">
        <v>0.60019124499999998</v>
      </c>
      <c r="B905" s="1">
        <v>1357</v>
      </c>
      <c r="C905" s="1">
        <v>31</v>
      </c>
      <c r="D905" s="1">
        <v>11614</v>
      </c>
      <c r="E905" s="1">
        <v>18890</v>
      </c>
      <c r="F905" s="1">
        <v>43890</v>
      </c>
      <c r="G905" s="1" t="s">
        <v>54</v>
      </c>
      <c r="H905" s="1">
        <v>0.138983051</v>
      </c>
      <c r="I905" s="1">
        <v>0.138983051</v>
      </c>
      <c r="J905" s="1">
        <v>0.16610169499999999</v>
      </c>
      <c r="K905" s="1">
        <v>0.186440678</v>
      </c>
      <c r="L905" s="1">
        <v>0.36949152499999999</v>
      </c>
      <c r="M905" s="1" t="s">
        <v>16</v>
      </c>
      <c r="N905" s="1" t="s">
        <v>17</v>
      </c>
    </row>
    <row r="906" spans="1:14" ht="15.75" customHeight="1">
      <c r="A906" s="1">
        <v>0.87963749599999996</v>
      </c>
      <c r="B906" s="1">
        <v>1207</v>
      </c>
      <c r="C906" s="1">
        <v>26</v>
      </c>
      <c r="D906" s="1">
        <v>4402</v>
      </c>
      <c r="E906" s="1">
        <v>16351</v>
      </c>
      <c r="F906" s="1">
        <v>30988</v>
      </c>
      <c r="G906" s="1" t="s">
        <v>54</v>
      </c>
      <c r="H906" s="1">
        <v>0.13469387799999999</v>
      </c>
      <c r="I906" s="1">
        <v>0.116326531</v>
      </c>
      <c r="J906" s="1">
        <v>0.153061224</v>
      </c>
      <c r="K906" s="1">
        <v>0.124489796</v>
      </c>
      <c r="L906" s="1">
        <v>0.47142857100000002</v>
      </c>
      <c r="M906" s="1" t="s">
        <v>16</v>
      </c>
      <c r="N906" s="1" t="s">
        <v>17</v>
      </c>
    </row>
    <row r="907" spans="1:14" ht="15.75" customHeight="1">
      <c r="A907" s="1">
        <v>0.88830329100000005</v>
      </c>
      <c r="B907" s="1">
        <v>1247</v>
      </c>
      <c r="C907" s="1">
        <v>28</v>
      </c>
      <c r="D907" s="1">
        <v>27083</v>
      </c>
      <c r="E907" s="1">
        <v>13815</v>
      </c>
      <c r="F907" s="1">
        <v>39397</v>
      </c>
      <c r="G907" s="1" t="s">
        <v>54</v>
      </c>
      <c r="H907" s="1">
        <v>0.23519061599999999</v>
      </c>
      <c r="I907" s="1">
        <v>0.14545454499999999</v>
      </c>
      <c r="J907" s="1">
        <v>0.16011730199999999</v>
      </c>
      <c r="K907" s="1">
        <v>0.15073313799999999</v>
      </c>
      <c r="L907" s="1">
        <v>0.30850439899999998</v>
      </c>
      <c r="M907" s="1" t="s">
        <v>16</v>
      </c>
      <c r="N907" s="1" t="s">
        <v>17</v>
      </c>
    </row>
    <row r="908" spans="1:14" ht="15.75" customHeight="1">
      <c r="A908" s="1">
        <v>0.76246153800000005</v>
      </c>
      <c r="B908" s="1">
        <v>1247</v>
      </c>
      <c r="C908" s="1">
        <v>27</v>
      </c>
      <c r="D908" s="1">
        <v>20497</v>
      </c>
      <c r="E908" s="1">
        <v>13576</v>
      </c>
      <c r="F908" s="1">
        <v>30790</v>
      </c>
      <c r="G908" s="1" t="s">
        <v>54</v>
      </c>
      <c r="H908" s="1">
        <v>0.14048991399999999</v>
      </c>
      <c r="I908" s="1">
        <v>0.103746398</v>
      </c>
      <c r="J908" s="1">
        <v>0.16786743500000001</v>
      </c>
      <c r="K908" s="1">
        <v>0.137608069</v>
      </c>
      <c r="L908" s="1">
        <v>0.45028818399999998</v>
      </c>
      <c r="M908" s="1" t="s">
        <v>16</v>
      </c>
      <c r="N908" s="1" t="s">
        <v>17</v>
      </c>
    </row>
    <row r="909" spans="1:14" ht="15.75" customHeight="1">
      <c r="A909" s="1">
        <v>0.84797630800000001</v>
      </c>
      <c r="B909" s="1">
        <v>1117</v>
      </c>
      <c r="C909" s="1">
        <v>24</v>
      </c>
      <c r="D909" s="1">
        <v>2957</v>
      </c>
      <c r="E909" s="1">
        <v>15200</v>
      </c>
      <c r="F909" s="1">
        <v>27410</v>
      </c>
      <c r="G909" s="1" t="s">
        <v>54</v>
      </c>
      <c r="H909" s="1">
        <v>0.19347319299999999</v>
      </c>
      <c r="I909" s="1">
        <v>0.13986013999999999</v>
      </c>
      <c r="J909" s="1">
        <v>0.14452214499999999</v>
      </c>
      <c r="K909" s="1">
        <v>0.18881118899999999</v>
      </c>
      <c r="L909" s="1">
        <v>0.33333333300000001</v>
      </c>
      <c r="M909" s="1" t="s">
        <v>16</v>
      </c>
      <c r="N909" s="1" t="s">
        <v>17</v>
      </c>
    </row>
    <row r="910" spans="1:14" ht="15.75" customHeight="1">
      <c r="A910" s="1">
        <v>0.86257055999999999</v>
      </c>
      <c r="B910" s="1">
        <v>1241</v>
      </c>
      <c r="C910" s="1">
        <v>26</v>
      </c>
      <c r="D910" s="1">
        <v>3504</v>
      </c>
      <c r="E910" s="1">
        <v>14559</v>
      </c>
      <c r="F910" s="1">
        <v>31479</v>
      </c>
      <c r="G910" s="1" t="s">
        <v>54</v>
      </c>
      <c r="H910" s="1">
        <v>0.232081911</v>
      </c>
      <c r="I910" s="1">
        <v>0.122866894</v>
      </c>
      <c r="J910" s="1">
        <v>0.15358361800000001</v>
      </c>
      <c r="K910" s="1">
        <v>0.14334470999999999</v>
      </c>
      <c r="L910" s="1">
        <v>0.348122867</v>
      </c>
      <c r="M910" s="1" t="s">
        <v>16</v>
      </c>
      <c r="N910" s="1" t="s">
        <v>17</v>
      </c>
    </row>
    <row r="911" spans="1:14" ht="15.75" customHeight="1">
      <c r="A911" s="1">
        <v>0.87464499100000004</v>
      </c>
      <c r="B911" s="1">
        <v>980</v>
      </c>
      <c r="C911" s="1">
        <v>18</v>
      </c>
      <c r="D911" s="1">
        <v>5495</v>
      </c>
      <c r="E911" s="1">
        <v>9910</v>
      </c>
      <c r="F911" s="1">
        <v>21412</v>
      </c>
      <c r="G911" s="1" t="s">
        <v>54</v>
      </c>
      <c r="H911" s="1">
        <v>0.38895859500000002</v>
      </c>
      <c r="I911" s="1">
        <v>0.24215809299999999</v>
      </c>
      <c r="J911" s="1">
        <v>0.17565871999999999</v>
      </c>
      <c r="K911" s="1">
        <v>9.7867000999999995E-2</v>
      </c>
      <c r="L911" s="1">
        <v>9.5357591000000005E-2</v>
      </c>
      <c r="M911" s="1" t="s">
        <v>16</v>
      </c>
      <c r="N911" s="1" t="s">
        <v>17</v>
      </c>
    </row>
    <row r="912" spans="1:14" ht="15.75" customHeight="1">
      <c r="A912" s="1">
        <v>0.90516561500000003</v>
      </c>
      <c r="B912" s="1">
        <v>1190</v>
      </c>
      <c r="C912" s="1">
        <v>24</v>
      </c>
      <c r="D912" s="1">
        <v>17521</v>
      </c>
      <c r="E912" s="1">
        <v>12262</v>
      </c>
      <c r="F912" s="1">
        <v>32662</v>
      </c>
      <c r="G912" s="1" t="s">
        <v>54</v>
      </c>
      <c r="H912" s="1">
        <v>0.28373524900000002</v>
      </c>
      <c r="I912" s="1">
        <v>0.18830169299999999</v>
      </c>
      <c r="J912" s="1">
        <v>0.19291944599999999</v>
      </c>
      <c r="K912" s="1">
        <v>0.121087737</v>
      </c>
      <c r="L912" s="1">
        <v>0.21395587499999999</v>
      </c>
      <c r="M912" s="1" t="s">
        <v>16</v>
      </c>
      <c r="N912" s="1" t="s">
        <v>17</v>
      </c>
    </row>
    <row r="913" spans="1:14" ht="15.75" customHeight="1">
      <c r="A913" s="1">
        <v>0.90643063599999996</v>
      </c>
      <c r="B913" s="1">
        <v>1061</v>
      </c>
      <c r="C913" s="1">
        <v>22</v>
      </c>
      <c r="D913" s="1">
        <v>5609</v>
      </c>
      <c r="E913" s="1">
        <v>12286</v>
      </c>
      <c r="F913" s="1">
        <v>25185</v>
      </c>
      <c r="G913" s="1" t="s">
        <v>54</v>
      </c>
      <c r="H913" s="1">
        <v>0.226613966</v>
      </c>
      <c r="I913" s="1">
        <v>0.13702239799999999</v>
      </c>
      <c r="J913" s="1">
        <v>0.187088274</v>
      </c>
      <c r="K913" s="1">
        <v>0.167325428</v>
      </c>
      <c r="L913" s="1">
        <v>0.28194993400000001</v>
      </c>
      <c r="M913" s="1" t="s">
        <v>16</v>
      </c>
      <c r="N913" s="1" t="s">
        <v>17</v>
      </c>
    </row>
    <row r="914" spans="1:14" ht="15.75" customHeight="1">
      <c r="A914" s="1">
        <v>0.93917963199999999</v>
      </c>
      <c r="B914" s="1">
        <v>1104</v>
      </c>
      <c r="C914" s="1">
        <v>23</v>
      </c>
      <c r="D914" s="1">
        <v>1214</v>
      </c>
      <c r="E914" s="1">
        <v>11656</v>
      </c>
      <c r="F914" s="1">
        <v>32540</v>
      </c>
      <c r="G914" s="1" t="s">
        <v>54</v>
      </c>
      <c r="H914" s="1">
        <v>0.40151515199999999</v>
      </c>
      <c r="I914" s="1">
        <v>0.20454545499999999</v>
      </c>
      <c r="J914" s="1">
        <v>0.15151515199999999</v>
      </c>
      <c r="K914" s="1">
        <v>0.159090909</v>
      </c>
      <c r="L914" s="1">
        <v>8.3333332999999996E-2</v>
      </c>
      <c r="M914" s="1" t="s">
        <v>16</v>
      </c>
      <c r="N914" s="1" t="s">
        <v>17</v>
      </c>
    </row>
    <row r="915" spans="1:14" ht="15.75" customHeight="1">
      <c r="A915" s="1">
        <v>0.57030588000000004</v>
      </c>
      <c r="B915" s="1">
        <v>1337</v>
      </c>
      <c r="C915" s="1">
        <v>30</v>
      </c>
      <c r="D915" s="1">
        <v>30435</v>
      </c>
      <c r="E915" s="1">
        <v>15478</v>
      </c>
      <c r="F915" s="1">
        <v>36694</v>
      </c>
      <c r="G915" s="1" t="s">
        <v>54</v>
      </c>
      <c r="H915" s="1">
        <v>0.15395547100000001</v>
      </c>
      <c r="I915" s="1">
        <v>0.117479867</v>
      </c>
      <c r="J915" s="1">
        <v>0.15869256300000001</v>
      </c>
      <c r="K915" s="1">
        <v>0.14448128800000001</v>
      </c>
      <c r="L915" s="1">
        <v>0.42539081000000001</v>
      </c>
      <c r="M915" s="1" t="s">
        <v>16</v>
      </c>
      <c r="N915" s="1" t="s">
        <v>17</v>
      </c>
    </row>
    <row r="916" spans="1:14" ht="15.75" customHeight="1">
      <c r="A916" s="1">
        <v>0.93055847199999997</v>
      </c>
      <c r="B916" s="1">
        <v>1168</v>
      </c>
      <c r="C916" s="1">
        <v>26</v>
      </c>
      <c r="D916" s="1">
        <v>20797</v>
      </c>
      <c r="E916" s="1">
        <v>16458</v>
      </c>
      <c r="F916" s="1">
        <v>39042</v>
      </c>
      <c r="G916" s="1" t="s">
        <v>54</v>
      </c>
      <c r="H916" s="1">
        <v>0.21697287800000001</v>
      </c>
      <c r="I916" s="1">
        <v>0.15354330699999999</v>
      </c>
      <c r="J916" s="1">
        <v>0.18110236199999999</v>
      </c>
      <c r="K916" s="1">
        <v>0.14916885399999999</v>
      </c>
      <c r="L916" s="1">
        <v>0.299212598</v>
      </c>
      <c r="M916" s="1" t="s">
        <v>16</v>
      </c>
      <c r="N916" s="1" t="s">
        <v>17</v>
      </c>
    </row>
    <row r="917" spans="1:14" ht="15.75" customHeight="1">
      <c r="A917" s="1">
        <v>0.817250213</v>
      </c>
      <c r="B917" s="1">
        <v>1183</v>
      </c>
      <c r="C917" s="1">
        <v>25</v>
      </c>
      <c r="D917" s="1">
        <v>1560</v>
      </c>
      <c r="E917" s="1">
        <v>20484</v>
      </c>
      <c r="F917" s="1">
        <v>51186</v>
      </c>
      <c r="G917" s="1" t="s">
        <v>54</v>
      </c>
      <c r="H917" s="1">
        <v>9.8159509000000006E-2</v>
      </c>
      <c r="I917" s="1">
        <v>4.9079755000000003E-2</v>
      </c>
      <c r="J917" s="1">
        <v>0.14723926400000001</v>
      </c>
      <c r="K917" s="1">
        <v>0.12883435600000001</v>
      </c>
      <c r="L917" s="1">
        <v>0.57668711699999997</v>
      </c>
      <c r="M917" s="1" t="s">
        <v>16</v>
      </c>
      <c r="N917" s="1" t="s">
        <v>17</v>
      </c>
    </row>
    <row r="918" spans="1:14" ht="15.75" customHeight="1">
      <c r="A918" s="1">
        <v>0.89098988400000001</v>
      </c>
      <c r="B918" s="1">
        <v>917</v>
      </c>
      <c r="C918" s="1">
        <v>18</v>
      </c>
      <c r="D918" s="1">
        <v>4787</v>
      </c>
      <c r="E918" s="1">
        <v>9755</v>
      </c>
      <c r="F918" s="1">
        <v>22006</v>
      </c>
      <c r="G918" s="1" t="s">
        <v>54</v>
      </c>
      <c r="H918" s="1">
        <v>0.53793103399999997</v>
      </c>
      <c r="I918" s="1">
        <v>0.19172413799999999</v>
      </c>
      <c r="J918" s="1">
        <v>0.114482759</v>
      </c>
      <c r="K918" s="1">
        <v>9.5172413999999997E-2</v>
      </c>
      <c r="L918" s="1">
        <v>6.0689655000000002E-2</v>
      </c>
      <c r="M918" s="1" t="s">
        <v>16</v>
      </c>
      <c r="N918" s="1" t="s">
        <v>17</v>
      </c>
    </row>
    <row r="919" spans="1:14" ht="15.75" customHeight="1">
      <c r="A919" s="1">
        <v>0.97227997200000005</v>
      </c>
      <c r="B919" s="1">
        <v>1161</v>
      </c>
      <c r="C919" s="1">
        <v>26</v>
      </c>
      <c r="D919" s="1">
        <v>2042</v>
      </c>
      <c r="E919" s="1">
        <v>8999</v>
      </c>
      <c r="F919" s="1">
        <v>30980</v>
      </c>
      <c r="G919" s="1" t="s">
        <v>54</v>
      </c>
      <c r="H919" s="1">
        <v>0.43396226399999999</v>
      </c>
      <c r="I919" s="1">
        <v>9.4339622999999997E-2</v>
      </c>
      <c r="J919" s="1">
        <v>0.16981132099999999</v>
      </c>
      <c r="K919" s="1">
        <v>0.14150943399999999</v>
      </c>
      <c r="L919" s="1">
        <v>0.160377358</v>
      </c>
      <c r="M919" s="1" t="s">
        <v>16</v>
      </c>
      <c r="N919" s="1" t="s">
        <v>17</v>
      </c>
    </row>
    <row r="920" spans="1:14" ht="15.75" customHeight="1">
      <c r="A920" s="1">
        <v>0.91308011</v>
      </c>
      <c r="B920" s="1">
        <v>1235</v>
      </c>
      <c r="C920" s="1">
        <v>26</v>
      </c>
      <c r="D920" s="1">
        <v>13574</v>
      </c>
      <c r="E920" s="1">
        <v>9286</v>
      </c>
      <c r="F920" s="1">
        <v>27853</v>
      </c>
      <c r="G920" s="1" t="s">
        <v>54</v>
      </c>
      <c r="H920" s="1">
        <v>0.20313862199999999</v>
      </c>
      <c r="I920" s="1">
        <v>0.14472537099999999</v>
      </c>
      <c r="J920" s="1">
        <v>0.17436791600000001</v>
      </c>
      <c r="K920" s="1">
        <v>0.141238012</v>
      </c>
      <c r="L920" s="1">
        <v>0.33653007800000001</v>
      </c>
      <c r="M920" s="1" t="s">
        <v>16</v>
      </c>
      <c r="N920" s="1" t="s">
        <v>17</v>
      </c>
    </row>
    <row r="921" spans="1:14" ht="15.75" customHeight="1">
      <c r="A921" s="1">
        <v>0.87222222199999999</v>
      </c>
      <c r="B921" s="1">
        <v>998</v>
      </c>
      <c r="C921" s="1">
        <v>20</v>
      </c>
      <c r="D921" s="1">
        <v>1231</v>
      </c>
      <c r="E921" s="1">
        <v>10240</v>
      </c>
      <c r="F921" s="1">
        <v>17560</v>
      </c>
      <c r="G921" s="1" t="s">
        <v>54</v>
      </c>
      <c r="H921" s="1">
        <v>0.32727272699999999</v>
      </c>
      <c r="I921" s="1">
        <v>0.20909090899999999</v>
      </c>
      <c r="J921" s="1">
        <v>0.18181818199999999</v>
      </c>
      <c r="K921" s="1">
        <v>0.13636363600000001</v>
      </c>
      <c r="L921" s="1">
        <v>0.14545454499999999</v>
      </c>
      <c r="M921" s="1" t="s">
        <v>16</v>
      </c>
      <c r="N921" s="1" t="s">
        <v>17</v>
      </c>
    </row>
    <row r="922" spans="1:14" ht="15.75" customHeight="1">
      <c r="A922" s="1">
        <v>0.89646464599999998</v>
      </c>
      <c r="B922" s="1">
        <v>980</v>
      </c>
      <c r="C922" s="1">
        <v>20</v>
      </c>
      <c r="D922" s="1">
        <v>1394</v>
      </c>
      <c r="E922" s="1">
        <v>9700</v>
      </c>
      <c r="F922" s="1">
        <v>20600</v>
      </c>
      <c r="G922" s="1" t="s">
        <v>54</v>
      </c>
      <c r="H922" s="1">
        <v>0.45086705199999999</v>
      </c>
      <c r="I922" s="1">
        <v>0.184971098</v>
      </c>
      <c r="J922" s="1">
        <v>0.16184971100000001</v>
      </c>
      <c r="K922" s="1">
        <v>0.10982659</v>
      </c>
      <c r="L922" s="1">
        <v>9.2485549E-2</v>
      </c>
      <c r="M922" s="1" t="s">
        <v>16</v>
      </c>
      <c r="N922" s="1" t="s">
        <v>17</v>
      </c>
    </row>
    <row r="923" spans="1:14" ht="15.75" customHeight="1">
      <c r="A923" s="1">
        <v>0.99242041400000003</v>
      </c>
      <c r="B923" s="1">
        <v>993</v>
      </c>
      <c r="C923" s="1">
        <v>20</v>
      </c>
      <c r="D923" s="1">
        <v>2690</v>
      </c>
      <c r="E923" s="1">
        <v>8454</v>
      </c>
      <c r="F923" s="1">
        <v>18372</v>
      </c>
      <c r="G923" s="1" t="s">
        <v>54</v>
      </c>
      <c r="H923" s="1">
        <v>0.32203389799999999</v>
      </c>
      <c r="I923" s="1">
        <v>0.14043583500000001</v>
      </c>
      <c r="J923" s="1">
        <v>0.17675544800000001</v>
      </c>
      <c r="K923" s="1">
        <v>0.15496367999999999</v>
      </c>
      <c r="L923" s="1">
        <v>0.205811138</v>
      </c>
      <c r="M923" s="1" t="s">
        <v>16</v>
      </c>
      <c r="N923" s="1" t="s">
        <v>17</v>
      </c>
    </row>
    <row r="924" spans="1:14" ht="15.75" customHeight="1">
      <c r="A924" s="1">
        <v>0.96460994</v>
      </c>
      <c r="B924" s="1">
        <v>1051</v>
      </c>
      <c r="C924" s="1">
        <v>21</v>
      </c>
      <c r="D924" s="1">
        <v>7149</v>
      </c>
      <c r="E924" s="1">
        <v>8942</v>
      </c>
      <c r="F924" s="1">
        <v>20294</v>
      </c>
      <c r="G924" s="1" t="s">
        <v>54</v>
      </c>
      <c r="H924" s="1">
        <v>0.35688622800000003</v>
      </c>
      <c r="I924" s="1">
        <v>0.173652695</v>
      </c>
      <c r="J924" s="1">
        <v>0.152095808</v>
      </c>
      <c r="K924" s="1">
        <v>0.15089820400000001</v>
      </c>
      <c r="L924" s="1">
        <v>0.166467066</v>
      </c>
      <c r="M924" s="1" t="s">
        <v>16</v>
      </c>
      <c r="N924" s="1" t="s">
        <v>17</v>
      </c>
    </row>
    <row r="925" spans="1:14" ht="15.75" customHeight="1">
      <c r="A925" s="1">
        <v>0.95649748999999995</v>
      </c>
      <c r="B925" s="1">
        <v>1022</v>
      </c>
      <c r="C925" s="1">
        <v>22</v>
      </c>
      <c r="D925" s="1">
        <v>2375</v>
      </c>
      <c r="E925" s="1">
        <v>8642</v>
      </c>
      <c r="F925" s="1">
        <v>19082</v>
      </c>
      <c r="G925" s="1" t="s">
        <v>54</v>
      </c>
      <c r="H925" s="1">
        <v>0.23305084700000001</v>
      </c>
      <c r="I925" s="1">
        <v>0.165254237</v>
      </c>
      <c r="J925" s="1">
        <v>0.186440678</v>
      </c>
      <c r="K925" s="1">
        <v>0.144067797</v>
      </c>
      <c r="L925" s="1">
        <v>0.271186441</v>
      </c>
      <c r="M925" s="1" t="s">
        <v>16</v>
      </c>
      <c r="N925" s="1" t="s">
        <v>17</v>
      </c>
    </row>
    <row r="926" spans="1:14" ht="15.75" customHeight="1">
      <c r="A926" s="1">
        <v>0.96371780500000004</v>
      </c>
      <c r="B926" s="1">
        <v>979</v>
      </c>
      <c r="C926" s="1">
        <v>20</v>
      </c>
      <c r="D926" s="1">
        <v>1328</v>
      </c>
      <c r="E926" s="1">
        <v>9049</v>
      </c>
      <c r="F926" s="1">
        <v>14623</v>
      </c>
      <c r="G926" s="1" t="s">
        <v>54</v>
      </c>
      <c r="H926" s="1">
        <v>0.610687023</v>
      </c>
      <c r="I926" s="1">
        <v>0.18320610700000001</v>
      </c>
      <c r="J926" s="1">
        <v>0.16793893100000001</v>
      </c>
      <c r="K926" s="1">
        <v>3.8167938999999998E-2</v>
      </c>
      <c r="L926" s="1">
        <v>0</v>
      </c>
      <c r="M926" s="1" t="s">
        <v>16</v>
      </c>
      <c r="N926" s="1" t="s">
        <v>17</v>
      </c>
    </row>
    <row r="927" spans="1:14" ht="15.75" customHeight="1">
      <c r="A927" s="1">
        <v>0.72123254699999995</v>
      </c>
      <c r="B927" s="1">
        <v>1041</v>
      </c>
      <c r="C927" s="1">
        <v>21</v>
      </c>
      <c r="D927" s="1">
        <v>1578</v>
      </c>
      <c r="E927" s="1">
        <v>8732</v>
      </c>
      <c r="F927" s="1">
        <v>17116</v>
      </c>
      <c r="G927" s="1" t="s">
        <v>54</v>
      </c>
      <c r="H927" s="1">
        <v>0.33846153800000001</v>
      </c>
      <c r="I927" s="1">
        <v>0.128205128</v>
      </c>
      <c r="J927" s="1">
        <v>0.179487179</v>
      </c>
      <c r="K927" s="1">
        <v>0.18461538499999999</v>
      </c>
      <c r="L927" s="1">
        <v>0.169230769</v>
      </c>
      <c r="M927" s="1" t="s">
        <v>16</v>
      </c>
      <c r="N927" s="1" t="s">
        <v>17</v>
      </c>
    </row>
    <row r="928" spans="1:14" ht="15.75" customHeight="1">
      <c r="A928" s="1">
        <v>0.85044578699999995</v>
      </c>
      <c r="B928" s="1">
        <v>1044</v>
      </c>
      <c r="C928" s="1">
        <v>21</v>
      </c>
      <c r="D928" s="1">
        <v>1009</v>
      </c>
      <c r="E928" s="1">
        <v>8064</v>
      </c>
      <c r="F928" s="1">
        <v>20120</v>
      </c>
      <c r="G928" s="1" t="s">
        <v>54</v>
      </c>
      <c r="H928" s="1">
        <v>0.34131736499999998</v>
      </c>
      <c r="I928" s="1">
        <v>0.12574850300000001</v>
      </c>
      <c r="J928" s="1">
        <v>0.16167664700000001</v>
      </c>
      <c r="K928" s="1">
        <v>0.20359281400000001</v>
      </c>
      <c r="L928" s="1">
        <v>0.16766467099999999</v>
      </c>
      <c r="M928" s="1" t="s">
        <v>16</v>
      </c>
      <c r="N928" s="1" t="s">
        <v>17</v>
      </c>
    </row>
    <row r="929" spans="1:14" ht="15.75" customHeight="1">
      <c r="A929" s="1">
        <v>0.85044578699999995</v>
      </c>
      <c r="B929" s="1">
        <v>1129</v>
      </c>
      <c r="C929" s="1">
        <v>23</v>
      </c>
      <c r="D929" s="1">
        <v>17705</v>
      </c>
      <c r="E929" s="1">
        <v>9648</v>
      </c>
      <c r="F929" s="1">
        <v>27360</v>
      </c>
      <c r="G929" s="1" t="s">
        <v>54</v>
      </c>
      <c r="H929" s="1">
        <v>0.256721596</v>
      </c>
      <c r="I929" s="1">
        <v>0.15004336500000001</v>
      </c>
      <c r="J929" s="1">
        <v>0.17779705100000001</v>
      </c>
      <c r="K929" s="1">
        <v>0.152645273</v>
      </c>
      <c r="L929" s="1">
        <v>0.26279271500000001</v>
      </c>
      <c r="M929" s="1" t="s">
        <v>16</v>
      </c>
      <c r="N929" s="1" t="s">
        <v>17</v>
      </c>
    </row>
    <row r="930" spans="1:14" ht="15.75" customHeight="1">
      <c r="A930" s="1">
        <v>0.82761394099999996</v>
      </c>
      <c r="B930" s="1">
        <v>1090</v>
      </c>
      <c r="C930" s="1">
        <v>21</v>
      </c>
      <c r="D930" s="1">
        <v>9180</v>
      </c>
      <c r="E930" s="1">
        <v>8250</v>
      </c>
      <c r="F930" s="1">
        <v>17916</v>
      </c>
      <c r="G930" s="1" t="s">
        <v>54</v>
      </c>
      <c r="H930" s="1">
        <v>0.14160156300000001</v>
      </c>
      <c r="I930" s="1">
        <v>0.12792968800000001</v>
      </c>
      <c r="J930" s="1">
        <v>0.18457031300000001</v>
      </c>
      <c r="K930" s="1">
        <v>0.19140625</v>
      </c>
      <c r="L930" s="1">
        <v>0.35449218799999999</v>
      </c>
      <c r="M930" s="1" t="s">
        <v>16</v>
      </c>
      <c r="N930" s="1" t="s">
        <v>17</v>
      </c>
    </row>
    <row r="931" spans="1:14" ht="15.75" customHeight="1">
      <c r="A931" s="1">
        <v>0.76083373700000001</v>
      </c>
      <c r="B931" s="1">
        <v>1190</v>
      </c>
      <c r="C931" s="1">
        <v>24</v>
      </c>
      <c r="D931" s="1">
        <v>8995</v>
      </c>
      <c r="E931" s="1">
        <v>9277</v>
      </c>
      <c r="F931" s="1">
        <v>18516</v>
      </c>
      <c r="G931" s="1" t="s">
        <v>54</v>
      </c>
      <c r="H931" s="1">
        <v>9.6324461E-2</v>
      </c>
      <c r="I931" s="1">
        <v>9.1254752999999994E-2</v>
      </c>
      <c r="J931" s="1">
        <v>0.18504435999999999</v>
      </c>
      <c r="K931" s="1">
        <v>0.217997465</v>
      </c>
      <c r="L931" s="1">
        <v>0.40937896099999999</v>
      </c>
      <c r="M931" s="1" t="s">
        <v>16</v>
      </c>
      <c r="N931" s="1" t="s">
        <v>17</v>
      </c>
    </row>
    <row r="932" spans="1:14" ht="15.75" customHeight="1">
      <c r="A932" s="1">
        <v>0.87839322099999995</v>
      </c>
      <c r="B932" s="1">
        <v>1090</v>
      </c>
      <c r="C932" s="1">
        <v>21</v>
      </c>
      <c r="D932" s="1">
        <v>6230</v>
      </c>
      <c r="E932" s="1">
        <v>8342</v>
      </c>
      <c r="F932" s="1">
        <v>16929</v>
      </c>
      <c r="G932" s="1" t="s">
        <v>54</v>
      </c>
      <c r="H932" s="1">
        <v>0.203125</v>
      </c>
      <c r="I932" s="1">
        <v>0.16093750000000001</v>
      </c>
      <c r="J932" s="1">
        <v>0.18906249999999999</v>
      </c>
      <c r="K932" s="1">
        <v>0.15625</v>
      </c>
      <c r="L932" s="1">
        <v>0.29062500000000002</v>
      </c>
      <c r="M932" s="1" t="s">
        <v>16</v>
      </c>
      <c r="N932" s="1" t="s">
        <v>17</v>
      </c>
    </row>
    <row r="933" spans="1:14" ht="15.75" customHeight="1">
      <c r="A933" s="1">
        <v>0.73249452999999998</v>
      </c>
      <c r="B933" s="1">
        <v>1190</v>
      </c>
      <c r="C933" s="1">
        <v>24</v>
      </c>
      <c r="D933" s="1">
        <v>9194</v>
      </c>
      <c r="E933" s="1">
        <v>9651</v>
      </c>
      <c r="F933" s="1">
        <v>18691</v>
      </c>
      <c r="G933" s="1" t="s">
        <v>54</v>
      </c>
      <c r="H933" s="1">
        <v>5.9873950000000002E-2</v>
      </c>
      <c r="I933" s="1">
        <v>7.4579831999999999E-2</v>
      </c>
      <c r="J933" s="1">
        <v>0.147058824</v>
      </c>
      <c r="K933" s="1">
        <v>0.22478991600000001</v>
      </c>
      <c r="L933" s="1">
        <v>0.49369747899999999</v>
      </c>
      <c r="M933" s="1" t="s">
        <v>16</v>
      </c>
      <c r="N933" s="1" t="s">
        <v>17</v>
      </c>
    </row>
    <row r="934" spans="1:14" ht="15.75" customHeight="1">
      <c r="A934" s="1">
        <v>0.86676943399999995</v>
      </c>
      <c r="B934" s="1">
        <v>1090</v>
      </c>
      <c r="C934" s="1">
        <v>21</v>
      </c>
      <c r="D934" s="1">
        <v>7613</v>
      </c>
      <c r="E934" s="1">
        <v>8212</v>
      </c>
      <c r="F934" s="1">
        <v>16125</v>
      </c>
      <c r="G934" s="1" t="s">
        <v>54</v>
      </c>
      <c r="H934" s="1">
        <v>0.15946843899999999</v>
      </c>
      <c r="I934" s="1">
        <v>0.15282392</v>
      </c>
      <c r="J934" s="1">
        <v>0.169435216</v>
      </c>
      <c r="K934" s="1">
        <v>0.18936877099999999</v>
      </c>
      <c r="L934" s="1">
        <v>0.32890365399999999</v>
      </c>
      <c r="M934" s="1" t="s">
        <v>16</v>
      </c>
      <c r="N934" s="1" t="s">
        <v>17</v>
      </c>
    </row>
    <row r="935" spans="1:14" ht="15.75" customHeight="1">
      <c r="A935" s="1">
        <v>0.72615699300000003</v>
      </c>
      <c r="B935" s="1">
        <v>1090</v>
      </c>
      <c r="C935" s="1">
        <v>21</v>
      </c>
      <c r="D935" s="1">
        <v>2951</v>
      </c>
      <c r="E935" s="1">
        <v>7855</v>
      </c>
      <c r="F935" s="1">
        <v>16497</v>
      </c>
      <c r="G935" s="1" t="s">
        <v>54</v>
      </c>
      <c r="H935" s="1">
        <v>0.30044842999999999</v>
      </c>
      <c r="I935" s="1">
        <v>0.21524663699999999</v>
      </c>
      <c r="J935" s="1">
        <v>0.15246636799999999</v>
      </c>
      <c r="K935" s="1">
        <v>0.143497758</v>
      </c>
      <c r="L935" s="1">
        <v>0.188340807</v>
      </c>
      <c r="M935" s="1" t="s">
        <v>16</v>
      </c>
      <c r="N935" s="1" t="s">
        <v>17</v>
      </c>
    </row>
    <row r="936" spans="1:14" ht="15.75" customHeight="1">
      <c r="A936" s="1">
        <v>0.84736024799999998</v>
      </c>
      <c r="B936" s="1">
        <v>1150</v>
      </c>
      <c r="C936" s="1">
        <v>23</v>
      </c>
      <c r="D936" s="1">
        <v>5900</v>
      </c>
      <c r="E936" s="1">
        <v>10142</v>
      </c>
      <c r="F936" s="1">
        <v>18706</v>
      </c>
      <c r="G936" s="1" t="s">
        <v>54</v>
      </c>
      <c r="H936" s="1">
        <v>0.131313131</v>
      </c>
      <c r="I936" s="1">
        <v>0.123232323</v>
      </c>
      <c r="J936" s="1">
        <v>0.177777778</v>
      </c>
      <c r="K936" s="1">
        <v>0.214141414</v>
      </c>
      <c r="L936" s="1">
        <v>0.35353535400000002</v>
      </c>
      <c r="M936" s="1" t="s">
        <v>16</v>
      </c>
      <c r="N936" s="1" t="s">
        <v>17</v>
      </c>
    </row>
    <row r="937" spans="1:14" ht="15.75" customHeight="1">
      <c r="A937" s="1">
        <v>0.93636363600000005</v>
      </c>
      <c r="B937" s="1">
        <v>1050</v>
      </c>
      <c r="C937" s="1">
        <v>20</v>
      </c>
      <c r="D937" s="1">
        <v>1899</v>
      </c>
      <c r="E937" s="1">
        <v>8487</v>
      </c>
      <c r="F937" s="1">
        <v>16400</v>
      </c>
      <c r="G937" s="1" t="s">
        <v>54</v>
      </c>
      <c r="H937" s="1">
        <v>0.175824176</v>
      </c>
      <c r="I937" s="1">
        <v>0.16483516500000001</v>
      </c>
      <c r="J937" s="1">
        <v>0.10989011</v>
      </c>
      <c r="K937" s="1">
        <v>0.27472527499999999</v>
      </c>
      <c r="L937" s="1">
        <v>0.27472527499999999</v>
      </c>
      <c r="M937" s="1" t="s">
        <v>16</v>
      </c>
      <c r="N937" s="1" t="s">
        <v>17</v>
      </c>
    </row>
    <row r="938" spans="1:14" ht="15.75" customHeight="1">
      <c r="A938" s="1">
        <v>0.88443778100000003</v>
      </c>
      <c r="B938" s="1">
        <v>1090</v>
      </c>
      <c r="C938" s="1">
        <v>21</v>
      </c>
      <c r="D938" s="1">
        <v>16762</v>
      </c>
      <c r="E938" s="1">
        <v>10020</v>
      </c>
      <c r="F938" s="1">
        <v>22020</v>
      </c>
      <c r="G938" s="1" t="s">
        <v>54</v>
      </c>
      <c r="H938" s="1">
        <v>0.211654755</v>
      </c>
      <c r="I938" s="1">
        <v>0.17427157800000001</v>
      </c>
      <c r="J938" s="1">
        <v>0.18086860900000001</v>
      </c>
      <c r="K938" s="1">
        <v>0.156679494</v>
      </c>
      <c r="L938" s="1">
        <v>0.27652556299999997</v>
      </c>
      <c r="M938" s="1" t="s">
        <v>16</v>
      </c>
      <c r="N938" s="1" t="s">
        <v>17</v>
      </c>
    </row>
    <row r="939" spans="1:14" ht="15.75" customHeight="1">
      <c r="A939" s="1">
        <v>0.87261035799999997</v>
      </c>
      <c r="B939" s="1">
        <v>1190</v>
      </c>
      <c r="C939" s="1">
        <v>24</v>
      </c>
      <c r="D939" s="1">
        <v>5928</v>
      </c>
      <c r="E939" s="1">
        <v>8315</v>
      </c>
      <c r="F939" s="1">
        <v>17274</v>
      </c>
      <c r="G939" s="1" t="s">
        <v>54</v>
      </c>
      <c r="H939" s="1">
        <v>0.13427561800000001</v>
      </c>
      <c r="I939" s="1">
        <v>0.109540636</v>
      </c>
      <c r="J939" s="1">
        <v>0.16254416999999999</v>
      </c>
      <c r="K939" s="1">
        <v>0.21201413399999999</v>
      </c>
      <c r="L939" s="1">
        <v>0.38162544199999998</v>
      </c>
      <c r="M939" s="1" t="s">
        <v>16</v>
      </c>
      <c r="N939" s="1" t="s">
        <v>17</v>
      </c>
    </row>
    <row r="940" spans="1:14" ht="15.75" customHeight="1">
      <c r="A940" s="1">
        <v>0.81619515499999995</v>
      </c>
      <c r="B940" s="1">
        <v>1120</v>
      </c>
      <c r="C940" s="1">
        <v>22</v>
      </c>
      <c r="D940" s="1">
        <v>4152</v>
      </c>
      <c r="E940" s="1">
        <v>8606</v>
      </c>
      <c r="F940" s="1">
        <v>16887</v>
      </c>
      <c r="G940" s="1" t="s">
        <v>54</v>
      </c>
      <c r="H940" s="1">
        <v>0.18466899000000001</v>
      </c>
      <c r="I940" s="1">
        <v>0.13240418100000001</v>
      </c>
      <c r="J940" s="1">
        <v>0.17073170700000001</v>
      </c>
      <c r="K940" s="1">
        <v>0.22299651600000001</v>
      </c>
      <c r="L940" s="1">
        <v>0.28919860600000002</v>
      </c>
      <c r="M940" s="1" t="s">
        <v>16</v>
      </c>
      <c r="N940" s="1" t="s">
        <v>17</v>
      </c>
    </row>
    <row r="941" spans="1:14" ht="15.75" customHeight="1">
      <c r="A941" s="1">
        <v>0.90136054399999999</v>
      </c>
      <c r="B941" s="1">
        <v>1120</v>
      </c>
      <c r="C941" s="1">
        <v>22</v>
      </c>
      <c r="D941" s="1">
        <v>7104</v>
      </c>
      <c r="E941" s="1">
        <v>8834</v>
      </c>
      <c r="F941" s="1">
        <v>17854</v>
      </c>
      <c r="G941" s="1" t="s">
        <v>54</v>
      </c>
      <c r="H941" s="1">
        <v>0.155046826</v>
      </c>
      <c r="I941" s="1">
        <v>0.12591051</v>
      </c>
      <c r="J941" s="1">
        <v>0.18522372500000001</v>
      </c>
      <c r="K941" s="1">
        <v>0.199791883</v>
      </c>
      <c r="L941" s="1">
        <v>0.33402705500000002</v>
      </c>
      <c r="M941" s="1" t="s">
        <v>16</v>
      </c>
      <c r="N941" s="1" t="s">
        <v>17</v>
      </c>
    </row>
    <row r="942" spans="1:14" ht="15.75" customHeight="1">
      <c r="A942" s="1">
        <v>0.97441860499999999</v>
      </c>
      <c r="B942" s="1">
        <v>915</v>
      </c>
      <c r="C942" s="1">
        <v>19</v>
      </c>
      <c r="D942" s="1">
        <v>1431</v>
      </c>
      <c r="E942" s="1">
        <v>5612</v>
      </c>
      <c r="F942" s="1">
        <v>15521</v>
      </c>
      <c r="G942" s="1" t="s">
        <v>54</v>
      </c>
      <c r="H942" s="1">
        <v>0.47297297300000002</v>
      </c>
      <c r="I942" s="1">
        <v>0.236486486</v>
      </c>
      <c r="J942" s="1">
        <v>0.14189189199999999</v>
      </c>
      <c r="K942" s="1">
        <v>0.10135135100000001</v>
      </c>
      <c r="L942" s="1">
        <v>4.7297297000000002E-2</v>
      </c>
      <c r="M942" s="1" t="s">
        <v>16</v>
      </c>
      <c r="N942" s="1" t="s">
        <v>17</v>
      </c>
    </row>
    <row r="943" spans="1:14" ht="15.75" customHeight="1">
      <c r="A943" s="1">
        <v>0.73537359999999996</v>
      </c>
      <c r="B943" s="1">
        <v>963</v>
      </c>
      <c r="C943" s="1">
        <v>17</v>
      </c>
      <c r="D943" s="1">
        <v>12871</v>
      </c>
      <c r="E943" s="1">
        <v>2960</v>
      </c>
      <c r="F943" s="1">
        <v>9312</v>
      </c>
      <c r="G943" s="1" t="s">
        <v>54</v>
      </c>
      <c r="H943" s="1">
        <v>0.46892307700000002</v>
      </c>
      <c r="I943" s="1">
        <v>0.27323076899999998</v>
      </c>
      <c r="J943" s="1">
        <v>0.17661538500000001</v>
      </c>
      <c r="K943" s="1">
        <v>4.1846154000000003E-2</v>
      </c>
      <c r="L943" s="1">
        <v>3.9384614999999998E-2</v>
      </c>
      <c r="M943" s="1" t="s">
        <v>16</v>
      </c>
      <c r="N943" s="1" t="s">
        <v>17</v>
      </c>
    </row>
    <row r="944" spans="1:14" ht="15.75" customHeight="1">
      <c r="A944" s="1">
        <v>0.73997168499999999</v>
      </c>
      <c r="B944" s="1">
        <v>1137</v>
      </c>
      <c r="C944" s="1">
        <v>23</v>
      </c>
      <c r="D944" s="1">
        <v>707</v>
      </c>
      <c r="E944" s="1">
        <v>6916</v>
      </c>
      <c r="F944" s="1">
        <v>29944</v>
      </c>
      <c r="G944" s="1" t="s">
        <v>54</v>
      </c>
      <c r="H944" s="1">
        <v>0.253731343</v>
      </c>
      <c r="I944" s="1">
        <v>0.17910447800000001</v>
      </c>
      <c r="J944" s="1">
        <v>0.31343283599999999</v>
      </c>
      <c r="K944" s="1">
        <v>8.9552239000000006E-2</v>
      </c>
      <c r="L944" s="1">
        <v>0.16417910399999999</v>
      </c>
      <c r="M944" s="1" t="s">
        <v>16</v>
      </c>
      <c r="N944" s="1" t="s">
        <v>17</v>
      </c>
    </row>
    <row r="945" spans="1:14" ht="15.75" customHeight="1">
      <c r="A945" s="1">
        <v>0.47689902699999998</v>
      </c>
      <c r="B945" s="1">
        <v>1376</v>
      </c>
      <c r="C945" s="1">
        <v>33</v>
      </c>
      <c r="D945" s="1">
        <v>5228</v>
      </c>
      <c r="E945" s="1">
        <v>12559</v>
      </c>
      <c r="F945" s="1">
        <v>41913</v>
      </c>
      <c r="G945" s="1" t="s">
        <v>54</v>
      </c>
      <c r="H945" s="1">
        <v>0.245524297</v>
      </c>
      <c r="I945" s="1">
        <v>0.21739130400000001</v>
      </c>
      <c r="J945" s="1">
        <v>0.21483376000000001</v>
      </c>
      <c r="K945" s="1">
        <v>0.127877238</v>
      </c>
      <c r="L945" s="1">
        <v>0.194373402</v>
      </c>
      <c r="M945" s="1" t="s">
        <v>16</v>
      </c>
      <c r="N945" s="1" t="s">
        <v>17</v>
      </c>
    </row>
    <row r="946" spans="1:14" ht="15.75" customHeight="1">
      <c r="A946" s="1">
        <v>0.76747663600000005</v>
      </c>
      <c r="B946" s="1">
        <v>1120</v>
      </c>
      <c r="C946" s="1">
        <v>22</v>
      </c>
      <c r="D946" s="1">
        <v>13809</v>
      </c>
      <c r="E946" s="1">
        <v>6118</v>
      </c>
      <c r="F946" s="1">
        <v>25162</v>
      </c>
      <c r="G946" s="1" t="s">
        <v>54</v>
      </c>
      <c r="H946" s="1">
        <v>0.26017874899999999</v>
      </c>
      <c r="I946" s="1">
        <v>0.20655412100000001</v>
      </c>
      <c r="J946" s="1">
        <v>0.19066534299999999</v>
      </c>
      <c r="K946" s="1">
        <v>9.5332670999999994E-2</v>
      </c>
      <c r="L946" s="1">
        <v>0.24726911600000001</v>
      </c>
      <c r="M946" s="1" t="s">
        <v>16</v>
      </c>
      <c r="N946" s="1" t="s">
        <v>17</v>
      </c>
    </row>
    <row r="947" spans="1:14" ht="15.75" customHeight="1">
      <c r="A947" s="1">
        <v>0.60440018699999998</v>
      </c>
      <c r="B947" s="1">
        <v>1080</v>
      </c>
      <c r="C947" s="1">
        <v>21</v>
      </c>
      <c r="D947" s="1">
        <v>2177</v>
      </c>
      <c r="E947" s="1">
        <v>17472</v>
      </c>
      <c r="F947" s="1">
        <v>40140</v>
      </c>
      <c r="G947" s="1" t="s">
        <v>54</v>
      </c>
      <c r="H947" s="1">
        <v>0.34718826400000002</v>
      </c>
      <c r="I947" s="1">
        <v>0.21271393599999999</v>
      </c>
      <c r="J947" s="1">
        <v>0.21026894900000001</v>
      </c>
      <c r="K947" s="1">
        <v>8.5574572000000002E-2</v>
      </c>
      <c r="L947" s="1">
        <v>0.14425427900000001</v>
      </c>
      <c r="M947" s="1" t="s">
        <v>16</v>
      </c>
      <c r="N947" s="1" t="s">
        <v>17</v>
      </c>
    </row>
    <row r="948" spans="1:14" ht="15.75" customHeight="1">
      <c r="A948" s="1">
        <v>0.76871774900000001</v>
      </c>
      <c r="B948" s="1">
        <v>1220</v>
      </c>
      <c r="C948" s="1">
        <v>25</v>
      </c>
      <c r="D948" s="1">
        <v>568</v>
      </c>
      <c r="E948" s="1">
        <v>14400</v>
      </c>
      <c r="F948" s="1">
        <v>14400</v>
      </c>
      <c r="G948" s="1" t="s">
        <v>54</v>
      </c>
      <c r="H948" s="1">
        <v>0.196428571</v>
      </c>
      <c r="I948" s="1">
        <v>0.1875</v>
      </c>
      <c r="J948" s="1">
        <v>0.125</v>
      </c>
      <c r="K948" s="1">
        <v>0.15178571399999999</v>
      </c>
      <c r="L948" s="1">
        <v>0.33928571400000002</v>
      </c>
      <c r="M948" s="1" t="s">
        <v>16</v>
      </c>
      <c r="N948" s="1" t="s">
        <v>17</v>
      </c>
    </row>
    <row r="949" spans="1:14" ht="15.75" customHeight="1">
      <c r="A949" s="1">
        <v>0.91997941599999999</v>
      </c>
      <c r="B949" s="1">
        <v>954</v>
      </c>
      <c r="C949" s="1">
        <v>18</v>
      </c>
      <c r="D949" s="1">
        <v>6224</v>
      </c>
      <c r="E949" s="1">
        <v>9548</v>
      </c>
      <c r="F949" s="1">
        <v>23124</v>
      </c>
      <c r="G949" s="1" t="s">
        <v>54</v>
      </c>
      <c r="H949" s="1">
        <v>0.44672131100000001</v>
      </c>
      <c r="I949" s="1">
        <v>0.21584699500000001</v>
      </c>
      <c r="J949" s="1">
        <v>0.17486338800000001</v>
      </c>
      <c r="K949" s="1">
        <v>8.6065574000000006E-2</v>
      </c>
      <c r="L949" s="1">
        <v>7.6502732000000004E-2</v>
      </c>
      <c r="M949" s="1" t="s">
        <v>16</v>
      </c>
      <c r="N949" s="1" t="s">
        <v>17</v>
      </c>
    </row>
    <row r="950" spans="1:14" ht="15.75" customHeight="1">
      <c r="A950" s="1">
        <v>0.60440018699999998</v>
      </c>
      <c r="B950" s="1">
        <v>1081</v>
      </c>
      <c r="C950" s="1">
        <v>22</v>
      </c>
      <c r="D950" s="1">
        <v>1473</v>
      </c>
      <c r="E950" s="1">
        <v>17452</v>
      </c>
      <c r="F950" s="1">
        <v>40120</v>
      </c>
      <c r="G950" s="1" t="s">
        <v>54</v>
      </c>
      <c r="H950" s="1">
        <v>0.23300970900000001</v>
      </c>
      <c r="I950" s="1">
        <v>0.25</v>
      </c>
      <c r="J950" s="1">
        <v>0.16019417499999999</v>
      </c>
      <c r="K950" s="1">
        <v>0.116504854</v>
      </c>
      <c r="L950" s="1">
        <v>0.24029126200000001</v>
      </c>
      <c r="M950" s="1" t="s">
        <v>16</v>
      </c>
      <c r="N950" s="1" t="s">
        <v>17</v>
      </c>
    </row>
    <row r="951" spans="1:14" ht="15.75" customHeight="1">
      <c r="A951" s="1">
        <v>0.69345227200000004</v>
      </c>
      <c r="B951" s="1">
        <v>1198</v>
      </c>
      <c r="C951" s="1">
        <v>22</v>
      </c>
      <c r="D951" s="1">
        <v>7554</v>
      </c>
      <c r="E951" s="1">
        <v>15204</v>
      </c>
      <c r="F951" s="1">
        <v>15204</v>
      </c>
      <c r="G951" s="1" t="s">
        <v>54</v>
      </c>
      <c r="H951" s="1">
        <v>0.456140351</v>
      </c>
      <c r="I951" s="1">
        <v>9.6491227999999998E-2</v>
      </c>
      <c r="J951" s="1">
        <v>0.16666666699999999</v>
      </c>
      <c r="K951" s="1">
        <v>0.105263158</v>
      </c>
      <c r="L951" s="1">
        <v>0.175438596</v>
      </c>
      <c r="M951" s="1" t="s">
        <v>16</v>
      </c>
      <c r="N951" s="1" t="s">
        <v>17</v>
      </c>
    </row>
    <row r="952" spans="1:14" ht="15.75" customHeight="1">
      <c r="A952" s="1">
        <v>0.89307535599999999</v>
      </c>
      <c r="B952" s="1">
        <v>1113</v>
      </c>
      <c r="C952" s="1">
        <v>22</v>
      </c>
      <c r="D952" s="1">
        <v>5282</v>
      </c>
      <c r="E952" s="1">
        <v>8122</v>
      </c>
      <c r="F952" s="1">
        <v>23500</v>
      </c>
      <c r="G952" s="1" t="s">
        <v>54</v>
      </c>
      <c r="H952" s="1">
        <v>0.29642248700000001</v>
      </c>
      <c r="I952" s="1">
        <v>0.219761499</v>
      </c>
      <c r="J952" s="1">
        <v>0.19250425900000001</v>
      </c>
      <c r="K952" s="1">
        <v>0.102214651</v>
      </c>
      <c r="L952" s="1">
        <v>0.18909710399999999</v>
      </c>
      <c r="M952" s="1" t="s">
        <v>16</v>
      </c>
      <c r="N952" s="1" t="s">
        <v>17</v>
      </c>
    </row>
    <row r="953" spans="1:14" ht="15.75" customHeight="1">
      <c r="A953" s="1">
        <v>0.99767801899999997</v>
      </c>
      <c r="B953" s="1">
        <v>1055</v>
      </c>
      <c r="C953" s="1">
        <v>19</v>
      </c>
      <c r="D953" s="1">
        <v>6655</v>
      </c>
      <c r="E953" s="1">
        <v>4432</v>
      </c>
      <c r="F953" s="1">
        <v>14032</v>
      </c>
      <c r="G953" s="1" t="s">
        <v>54</v>
      </c>
      <c r="H953" s="1">
        <v>0.45726495700000003</v>
      </c>
      <c r="I953" s="1">
        <v>0.200854701</v>
      </c>
      <c r="J953" s="1">
        <v>0.14672364700000001</v>
      </c>
      <c r="K953" s="1">
        <v>0.101139601</v>
      </c>
      <c r="L953" s="1">
        <v>9.4017093999999996E-2</v>
      </c>
      <c r="M953" s="1" t="s">
        <v>16</v>
      </c>
      <c r="N953" s="1" t="s">
        <v>17</v>
      </c>
    </row>
    <row r="954" spans="1:14" ht="15.75" customHeight="1">
      <c r="A954" s="1">
        <v>0.72156795299999998</v>
      </c>
      <c r="B954" s="1">
        <v>1136</v>
      </c>
      <c r="C954" s="1">
        <v>23</v>
      </c>
      <c r="D954" s="1">
        <v>15542</v>
      </c>
      <c r="E954" s="1">
        <v>5009</v>
      </c>
      <c r="F954" s="1">
        <v>15441</v>
      </c>
      <c r="G954" s="1" t="s">
        <v>54</v>
      </c>
      <c r="H954" s="1">
        <v>0.25046612800000001</v>
      </c>
      <c r="I954" s="1">
        <v>0.18955873200000001</v>
      </c>
      <c r="J954" s="1">
        <v>0.20198881299999999</v>
      </c>
      <c r="K954" s="1">
        <v>0.12616532</v>
      </c>
      <c r="L954" s="1">
        <v>0.231821007</v>
      </c>
      <c r="M954" s="1" t="s">
        <v>16</v>
      </c>
      <c r="N954" s="1" t="s">
        <v>17</v>
      </c>
    </row>
    <row r="955" spans="1:14" ht="15.75" customHeight="1">
      <c r="A955" s="1">
        <v>0.55730769199999997</v>
      </c>
      <c r="B955" s="1">
        <v>1294</v>
      </c>
      <c r="C955" s="1">
        <v>28</v>
      </c>
      <c r="D955" s="1">
        <v>1556</v>
      </c>
      <c r="E955" s="1">
        <v>4940</v>
      </c>
      <c r="F955" s="1">
        <v>21005</v>
      </c>
      <c r="G955" s="1" t="s">
        <v>54</v>
      </c>
      <c r="H955" s="1">
        <v>0.31216931199999998</v>
      </c>
      <c r="I955" s="1">
        <v>0.222222222</v>
      </c>
      <c r="J955" s="1">
        <v>0.185185185</v>
      </c>
      <c r="K955" s="1">
        <v>0.116402116</v>
      </c>
      <c r="L955" s="1">
        <v>0.164021164</v>
      </c>
      <c r="M955" s="1" t="s">
        <v>16</v>
      </c>
      <c r="N955" s="1" t="s">
        <v>17</v>
      </c>
    </row>
    <row r="956" spans="1:14" ht="15.75" customHeight="1">
      <c r="A956" s="1">
        <v>0.248956073</v>
      </c>
      <c r="B956" s="1">
        <v>1331</v>
      </c>
      <c r="C956" s="1">
        <v>29</v>
      </c>
      <c r="D956" s="1">
        <v>4577</v>
      </c>
      <c r="E956" s="1">
        <v>3876</v>
      </c>
      <c r="F956" s="1">
        <v>16579</v>
      </c>
      <c r="G956" s="1" t="s">
        <v>54</v>
      </c>
      <c r="H956" s="1">
        <v>0.37662337699999998</v>
      </c>
      <c r="I956" s="1">
        <v>0.220779221</v>
      </c>
      <c r="J956" s="1">
        <v>0.18181818199999999</v>
      </c>
      <c r="K956" s="1">
        <v>6.4935065E-2</v>
      </c>
      <c r="L956" s="1">
        <v>0.15584415600000001</v>
      </c>
      <c r="M956" s="1" t="s">
        <v>16</v>
      </c>
      <c r="N956" s="1" t="s">
        <v>17</v>
      </c>
    </row>
    <row r="957" spans="1:14" ht="15.75" customHeight="1">
      <c r="A957" s="1">
        <v>0.93856308700000002</v>
      </c>
      <c r="B957" s="1">
        <v>916</v>
      </c>
      <c r="C957" s="1">
        <v>17</v>
      </c>
      <c r="D957" s="1">
        <v>2914</v>
      </c>
      <c r="E957" s="1">
        <v>9590</v>
      </c>
      <c r="F957" s="1">
        <v>22189</v>
      </c>
      <c r="G957" s="1" t="s">
        <v>54</v>
      </c>
      <c r="H957" s="1">
        <v>0.45581395299999999</v>
      </c>
      <c r="I957" s="1">
        <v>0.29302325600000001</v>
      </c>
      <c r="J957" s="1">
        <v>0.16744186</v>
      </c>
      <c r="K957" s="1">
        <v>4.6511627999999999E-2</v>
      </c>
      <c r="L957" s="1">
        <v>3.7209302E-2</v>
      </c>
      <c r="M957" s="1" t="s">
        <v>16</v>
      </c>
      <c r="N957" s="1" t="s">
        <v>17</v>
      </c>
    </row>
    <row r="958" spans="1:14" ht="15.75" customHeight="1">
      <c r="A958" s="1">
        <v>0.69184890700000001</v>
      </c>
      <c r="B958" s="1">
        <v>1120</v>
      </c>
      <c r="C958" s="1">
        <v>22</v>
      </c>
      <c r="D958" s="1">
        <v>39503</v>
      </c>
      <c r="E958" s="1">
        <v>5786</v>
      </c>
      <c r="F958" s="1">
        <v>17040</v>
      </c>
      <c r="G958" s="1" t="s">
        <v>54</v>
      </c>
      <c r="H958" s="1">
        <v>0.28658375200000002</v>
      </c>
      <c r="I958" s="1">
        <v>0.19264355599999999</v>
      </c>
      <c r="J958" s="1">
        <v>0.17729558100000001</v>
      </c>
      <c r="K958" s="1">
        <v>0.12622386899999999</v>
      </c>
      <c r="L958" s="1">
        <v>0.21725324200000001</v>
      </c>
      <c r="M958" s="1" t="s">
        <v>16</v>
      </c>
      <c r="N958" s="1" t="s">
        <v>17</v>
      </c>
    </row>
    <row r="959" spans="1:14" ht="15.75" customHeight="1">
      <c r="A959" s="1">
        <v>0.70628714400000003</v>
      </c>
      <c r="B959" s="1">
        <v>1034</v>
      </c>
      <c r="C959" s="1">
        <v>21</v>
      </c>
      <c r="D959" s="1">
        <v>5786</v>
      </c>
      <c r="E959" s="1">
        <v>8419</v>
      </c>
      <c r="F959" s="1">
        <v>15620</v>
      </c>
      <c r="G959" s="1" t="s">
        <v>54</v>
      </c>
      <c r="H959" s="1">
        <v>0.3359375</v>
      </c>
      <c r="I959" s="1">
        <v>0.1875</v>
      </c>
      <c r="J959" s="1">
        <v>0.18124999999999999</v>
      </c>
      <c r="K959" s="1">
        <v>0.12968750000000001</v>
      </c>
      <c r="L959" s="1">
        <v>0.16562499999999999</v>
      </c>
      <c r="M959" s="1" t="s">
        <v>16</v>
      </c>
      <c r="N959" s="1" t="s">
        <v>17</v>
      </c>
    </row>
    <row r="960" spans="1:14" ht="15.75" customHeight="1">
      <c r="A960" s="1">
        <v>0.94749773699999995</v>
      </c>
      <c r="B960" s="1">
        <v>1093</v>
      </c>
      <c r="C960" s="1">
        <v>23</v>
      </c>
      <c r="D960" s="1">
        <v>9309</v>
      </c>
      <c r="E960" s="1">
        <v>11046</v>
      </c>
      <c r="F960" s="1">
        <v>22870</v>
      </c>
      <c r="G960" s="1" t="s">
        <v>54</v>
      </c>
      <c r="H960" s="1">
        <v>0.19510537</v>
      </c>
      <c r="I960" s="1">
        <v>0.140040789</v>
      </c>
      <c r="J960" s="1">
        <v>0.152957172</v>
      </c>
      <c r="K960" s="1">
        <v>0.17199184200000001</v>
      </c>
      <c r="L960" s="1">
        <v>0.33990482700000002</v>
      </c>
      <c r="M960" s="1" t="s">
        <v>16</v>
      </c>
      <c r="N960" s="1" t="s">
        <v>17</v>
      </c>
    </row>
    <row r="961" spans="1:14" ht="15.75" customHeight="1">
      <c r="A961" s="1">
        <v>0.93650024200000004</v>
      </c>
      <c r="B961" s="1">
        <v>1076</v>
      </c>
      <c r="C961" s="1">
        <v>22</v>
      </c>
      <c r="D961" s="1">
        <v>8134</v>
      </c>
      <c r="E961" s="1">
        <v>11388</v>
      </c>
      <c r="F961" s="1">
        <v>16006</v>
      </c>
      <c r="G961" s="1" t="s">
        <v>54</v>
      </c>
      <c r="H961" s="1">
        <v>0.24531249999999999</v>
      </c>
      <c r="I961" s="1">
        <v>0.14374999999999999</v>
      </c>
      <c r="J961" s="1">
        <v>0.19218750000000001</v>
      </c>
      <c r="K961" s="1">
        <v>0.17265625000000001</v>
      </c>
      <c r="L961" s="1">
        <v>0.24609375</v>
      </c>
      <c r="M961" s="1" t="s">
        <v>16</v>
      </c>
      <c r="N961" s="1" t="s">
        <v>17</v>
      </c>
    </row>
    <row r="962" spans="1:14" ht="15.75" customHeight="1"/>
    <row r="963" spans="1:14" ht="15.75" customHeight="1"/>
    <row r="964" spans="1:14" ht="15.75" customHeight="1"/>
    <row r="965" spans="1:14" ht="15.75" customHeight="1"/>
    <row r="966" spans="1:14" ht="15.75" customHeight="1"/>
    <row r="967" spans="1:14" ht="15.75" customHeight="1"/>
    <row r="968" spans="1:14" ht="15.75" customHeight="1"/>
    <row r="969" spans="1:14" ht="15.75" customHeight="1"/>
    <row r="970" spans="1:14" ht="15.75" customHeight="1"/>
    <row r="971" spans="1:14" ht="15.75" customHeight="1"/>
    <row r="972" spans="1:14" ht="15.75" customHeight="1"/>
    <row r="973" spans="1:14" ht="15.75" customHeight="1"/>
    <row r="974" spans="1:14" ht="15.75" customHeight="1"/>
    <row r="975" spans="1:14" ht="15.75" customHeight="1"/>
    <row r="976" spans="1:14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selection activeCell="F19" sqref="F19"/>
    </sheetView>
  </sheetViews>
  <sheetFormatPr baseColWidth="10" defaultColWidth="11.1640625" defaultRowHeight="15" customHeight="1"/>
  <cols>
    <col min="1" max="3" width="10.5" customWidth="1"/>
    <col min="4" max="4" width="36.5" customWidth="1"/>
    <col min="5" max="6" width="11.6640625" customWidth="1"/>
    <col min="7" max="11" width="10.5" customWidth="1"/>
    <col min="12" max="12" width="34.5" customWidth="1"/>
    <col min="13" max="26" width="10.5" customWidth="1"/>
  </cols>
  <sheetData>
    <row r="1" spans="1:14" ht="15.75" customHeight="1" thickBot="1">
      <c r="A1" s="16" t="s">
        <v>53</v>
      </c>
      <c r="B1" s="11"/>
      <c r="C1" s="11"/>
      <c r="D1" s="11"/>
      <c r="E1" s="11"/>
      <c r="F1" s="11"/>
      <c r="I1" s="16" t="s">
        <v>55</v>
      </c>
      <c r="J1" s="11"/>
      <c r="K1" s="11"/>
      <c r="L1" s="11"/>
      <c r="M1" s="11"/>
      <c r="N1" s="11"/>
    </row>
    <row r="2" spans="1:14" ht="15.75" customHeight="1">
      <c r="A2" s="12" t="s">
        <v>27</v>
      </c>
      <c r="B2" s="13"/>
      <c r="D2" s="14" t="s">
        <v>28</v>
      </c>
      <c r="E2" s="15"/>
      <c r="F2" s="17"/>
      <c r="I2" s="18" t="s">
        <v>1</v>
      </c>
      <c r="J2" s="18"/>
      <c r="L2" s="14" t="s">
        <v>28</v>
      </c>
      <c r="M2" s="15"/>
      <c r="N2" s="17"/>
    </row>
    <row r="3" spans="1:14" ht="15.75" customHeight="1">
      <c r="A3" s="4"/>
      <c r="B3" s="4"/>
      <c r="D3" s="5" t="s">
        <v>29</v>
      </c>
      <c r="E3" s="19" t="s">
        <v>30</v>
      </c>
      <c r="F3" s="6">
        <v>0.5</v>
      </c>
      <c r="I3" s="20"/>
      <c r="J3" s="20"/>
      <c r="L3" s="5" t="s">
        <v>29</v>
      </c>
      <c r="M3" s="19" t="s">
        <v>61</v>
      </c>
      <c r="N3" s="23">
        <v>1029</v>
      </c>
    </row>
    <row r="4" spans="1:14" ht="15.75" customHeight="1">
      <c r="A4" s="4" t="s">
        <v>31</v>
      </c>
      <c r="B4" s="4">
        <v>0.69266698308124985</v>
      </c>
      <c r="D4" s="21" t="s">
        <v>32</v>
      </c>
      <c r="E4" s="22" t="s">
        <v>33</v>
      </c>
      <c r="F4" s="7">
        <v>0.5</v>
      </c>
      <c r="I4" s="20" t="s">
        <v>31</v>
      </c>
      <c r="J4" s="20">
        <v>1184.3895833333333</v>
      </c>
      <c r="L4" s="21" t="s">
        <v>32</v>
      </c>
      <c r="M4" s="22" t="s">
        <v>60</v>
      </c>
      <c r="N4" s="23">
        <v>1029</v>
      </c>
    </row>
    <row r="5" spans="1:14" ht="15.75" customHeight="1">
      <c r="A5" s="4" t="s">
        <v>34</v>
      </c>
      <c r="B5" s="4">
        <v>7.456682812863308E-3</v>
      </c>
      <c r="D5" s="21"/>
      <c r="E5" s="22"/>
      <c r="F5" s="22"/>
      <c r="I5" s="20" t="s">
        <v>34</v>
      </c>
      <c r="J5" s="20">
        <v>4.6890963040054396</v>
      </c>
      <c r="L5" s="21"/>
      <c r="M5" s="22"/>
      <c r="N5" s="22"/>
    </row>
    <row r="6" spans="1:14" ht="15.75" customHeight="1">
      <c r="A6" s="4" t="s">
        <v>35</v>
      </c>
      <c r="B6" s="4">
        <v>0.74116814349999993</v>
      </c>
      <c r="D6" s="21" t="s">
        <v>36</v>
      </c>
      <c r="E6" s="23">
        <f>B4</f>
        <v>0.69266698308124985</v>
      </c>
      <c r="F6" s="22"/>
      <c r="I6" s="20" t="s">
        <v>35</v>
      </c>
      <c r="J6" s="20">
        <v>1166</v>
      </c>
      <c r="L6" s="21" t="s">
        <v>36</v>
      </c>
      <c r="M6" s="23">
        <f>J4</f>
        <v>1184.3895833333333</v>
      </c>
      <c r="N6" s="22"/>
    </row>
    <row r="7" spans="1:14" ht="15.75" customHeight="1">
      <c r="A7" s="4" t="s">
        <v>37</v>
      </c>
      <c r="B7" s="4">
        <v>0.69345227200000004</v>
      </c>
      <c r="D7" s="21" t="s">
        <v>38</v>
      </c>
      <c r="E7" s="23">
        <f>_xlfn.STDEV.S([1]university_test_scores_clean!A:A)</f>
        <v>0.23103686681736535</v>
      </c>
      <c r="F7" s="22"/>
      <c r="I7" s="20" t="s">
        <v>37</v>
      </c>
      <c r="J7" s="20">
        <v>1090</v>
      </c>
      <c r="L7" s="21" t="s">
        <v>38</v>
      </c>
      <c r="M7" s="23">
        <f>_xlfn.STDEV.S([1]university_test_scores_clean!B:B)</f>
        <v>145.28633515340655</v>
      </c>
      <c r="N7" s="22"/>
    </row>
    <row r="8" spans="1:14" ht="15.75" customHeight="1">
      <c r="A8" s="4" t="s">
        <v>39</v>
      </c>
      <c r="B8" s="4">
        <v>0.23103686681736535</v>
      </c>
      <c r="D8" s="21" t="s">
        <v>40</v>
      </c>
      <c r="E8" s="23">
        <f>B16</f>
        <v>960</v>
      </c>
      <c r="F8" s="22"/>
      <c r="I8" s="20" t="s">
        <v>39</v>
      </c>
      <c r="J8" s="20">
        <v>145.28633515340655</v>
      </c>
      <c r="L8" s="21" t="s">
        <v>40</v>
      </c>
      <c r="M8" s="23">
        <f>J16</f>
        <v>960</v>
      </c>
      <c r="N8" s="22"/>
    </row>
    <row r="9" spans="1:14" ht="15.75" customHeight="1">
      <c r="A9" s="4" t="s">
        <v>41</v>
      </c>
      <c r="B9" s="4">
        <v>5.3378033828785011E-2</v>
      </c>
      <c r="D9" s="21" t="s">
        <v>42</v>
      </c>
      <c r="E9" s="23">
        <v>0.05</v>
      </c>
      <c r="F9" s="22"/>
      <c r="I9" s="20" t="s">
        <v>41</v>
      </c>
      <c r="J9" s="20">
        <v>21108.119182307975</v>
      </c>
      <c r="L9" s="21" t="s">
        <v>42</v>
      </c>
      <c r="M9" s="23">
        <v>0.05</v>
      </c>
      <c r="N9" s="22"/>
    </row>
    <row r="10" spans="1:14" ht="15.75" customHeight="1">
      <c r="A10" s="4" t="s">
        <v>43</v>
      </c>
      <c r="B10" s="4">
        <v>0.52276618864070068</v>
      </c>
      <c r="D10" s="21"/>
      <c r="E10" s="23"/>
      <c r="F10" s="22"/>
      <c r="I10" s="20" t="s">
        <v>43</v>
      </c>
      <c r="J10" s="20">
        <v>-0.10886262275334158</v>
      </c>
      <c r="L10" s="21"/>
      <c r="M10" s="23"/>
      <c r="N10" s="22"/>
    </row>
    <row r="11" spans="1:14" ht="15.75" customHeight="1">
      <c r="A11" s="4" t="s">
        <v>44</v>
      </c>
      <c r="B11" s="4">
        <v>-1.038741492134502</v>
      </c>
      <c r="D11" s="21" t="s">
        <v>45</v>
      </c>
      <c r="E11" s="8">
        <f>(E6-F3)/(E7/SQRT(E8))</f>
        <v>25.838162614196975</v>
      </c>
      <c r="F11" s="22"/>
      <c r="I11" s="20" t="s">
        <v>44</v>
      </c>
      <c r="J11" s="20">
        <v>0.58488924652007868</v>
      </c>
      <c r="L11" s="21" t="s">
        <v>45</v>
      </c>
      <c r="M11" s="8">
        <f>(M6-N3)/(M7/SQRT(M8))</f>
        <v>33.138492634625379</v>
      </c>
      <c r="N11" s="22"/>
    </row>
    <row r="12" spans="1:14" ht="15.75" customHeight="1">
      <c r="A12" s="4" t="s">
        <v>46</v>
      </c>
      <c r="B12" s="4">
        <v>0.96548817099999995</v>
      </c>
      <c r="D12" s="9" t="s">
        <v>47</v>
      </c>
      <c r="E12" s="26">
        <f>_xlfn.T.DIST(E11, E8-1, TRUE)</f>
        <v>1</v>
      </c>
      <c r="F12" s="22"/>
      <c r="I12" s="20" t="s">
        <v>46</v>
      </c>
      <c r="J12" s="20">
        <v>697</v>
      </c>
      <c r="L12" s="9" t="s">
        <v>47</v>
      </c>
      <c r="M12" s="26">
        <f>1- _xlfn.T.DIST(M11, M8-1, TRUE)</f>
        <v>0</v>
      </c>
      <c r="N12" s="22"/>
    </row>
    <row r="13" spans="1:14" ht="15.75" customHeight="1">
      <c r="A13" s="4" t="s">
        <v>49</v>
      </c>
      <c r="B13" s="4">
        <v>3.4511829000000001E-2</v>
      </c>
      <c r="I13" s="20" t="s">
        <v>49</v>
      </c>
      <c r="J13" s="20">
        <v>857</v>
      </c>
    </row>
    <row r="14" spans="1:14" ht="15.75" customHeight="1">
      <c r="A14" s="4" t="s">
        <v>50</v>
      </c>
      <c r="B14" s="4">
        <v>1</v>
      </c>
      <c r="I14" s="20" t="s">
        <v>50</v>
      </c>
      <c r="J14" s="20">
        <v>1554</v>
      </c>
    </row>
    <row r="15" spans="1:14" ht="15.75" customHeight="1">
      <c r="A15" s="4" t="s">
        <v>51</v>
      </c>
      <c r="B15" s="4">
        <v>664.9603037579999</v>
      </c>
      <c r="I15" s="20" t="s">
        <v>51</v>
      </c>
      <c r="J15" s="20">
        <v>1137014</v>
      </c>
    </row>
    <row r="16" spans="1:14" ht="15.75" customHeight="1" thickBot="1">
      <c r="A16" s="10" t="s">
        <v>52</v>
      </c>
      <c r="B16" s="10">
        <v>960</v>
      </c>
      <c r="I16" s="24" t="s">
        <v>52</v>
      </c>
      <c r="J16" s="24">
        <v>960</v>
      </c>
    </row>
    <row r="17" spans="4:12" ht="15.75" customHeight="1"/>
    <row r="18" spans="4:12" ht="68">
      <c r="D18" s="25" t="s">
        <v>56</v>
      </c>
      <c r="L18" s="25" t="s">
        <v>62</v>
      </c>
    </row>
    <row r="19" spans="4:12" ht="102">
      <c r="D19" s="25" t="s">
        <v>57</v>
      </c>
      <c r="L19" s="25" t="s">
        <v>59</v>
      </c>
    </row>
    <row r="20" spans="4:12" ht="15.75" customHeight="1"/>
    <row r="21" spans="4:12" ht="15.75" customHeight="1">
      <c r="L21" t="s">
        <v>58</v>
      </c>
    </row>
    <row r="22" spans="4:12" ht="15.75" customHeight="1"/>
    <row r="23" spans="4:12" ht="15.75" customHeight="1"/>
    <row r="24" spans="4:12" ht="15.75" customHeight="1"/>
    <row r="25" spans="4:12" ht="15.75" customHeight="1"/>
    <row r="26" spans="4:12" ht="15.75" customHeight="1"/>
    <row r="27" spans="4:12" ht="15.75" customHeight="1"/>
    <row r="28" spans="4:12" ht="15.75" customHeight="1"/>
    <row r="29" spans="4:12" ht="15.75" customHeight="1"/>
    <row r="30" spans="4:12" ht="15.75" customHeight="1"/>
    <row r="31" spans="4:12" ht="15.75" customHeight="1"/>
    <row r="32" spans="4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I1:N1"/>
    <mergeCell ref="A2:B2"/>
    <mergeCell ref="D2:F2"/>
    <mergeCell ref="L2:N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8"/>
  <sheetViews>
    <sheetView workbookViewId="0">
      <selection activeCell="A12" sqref="A12:XFD13"/>
    </sheetView>
  </sheetViews>
  <sheetFormatPr baseColWidth="10" defaultColWidth="11.1640625" defaultRowHeight="15" customHeight="1"/>
  <cols>
    <col min="1" max="8" width="10.5" customWidth="1"/>
    <col min="9" max="9" width="15.5" customWidth="1"/>
    <col min="10" max="26" width="10.5" customWidth="1"/>
  </cols>
  <sheetData>
    <row r="1" spans="1:6" ht="15.75" customHeight="1"/>
    <row r="2" spans="1:6" ht="15.75" customHeight="1">
      <c r="A2" s="2" t="s">
        <v>14</v>
      </c>
    </row>
    <row r="3" spans="1:6" ht="15.75" customHeight="1"/>
    <row r="4" spans="1:6" ht="15.75" customHeight="1">
      <c r="E4" s="2" t="s">
        <v>18</v>
      </c>
      <c r="F4" s="1">
        <f>B5-_xlfn.CONFIDENCE.T(0.05,B6,B7)</f>
        <v>22285.490693416916</v>
      </c>
    </row>
    <row r="5" spans="1:6" ht="15.75" customHeight="1">
      <c r="A5" s="2" t="s">
        <v>19</v>
      </c>
      <c r="B5" s="1">
        <v>23196.691489361703</v>
      </c>
      <c r="E5" s="2" t="s">
        <v>20</v>
      </c>
      <c r="F5" s="1">
        <f>B5+_xlfn.CONFIDENCE.T(0.05,B6,B7)</f>
        <v>24107.892285306491</v>
      </c>
    </row>
    <row r="6" spans="1:6" ht="15.75" customHeight="1">
      <c r="A6" s="2" t="s">
        <v>21</v>
      </c>
      <c r="B6" s="1">
        <v>8973.7494802284709</v>
      </c>
    </row>
    <row r="7" spans="1:6" ht="15.75" customHeight="1">
      <c r="A7" s="2" t="s">
        <v>22</v>
      </c>
      <c r="B7" s="1">
        <v>375</v>
      </c>
    </row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>
      <c r="A14" s="3" t="s">
        <v>24</v>
      </c>
    </row>
    <row r="15" spans="1:6" ht="15.75" customHeight="1">
      <c r="A15" s="1" t="s">
        <v>26</v>
      </c>
    </row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1"/>
  <sheetViews>
    <sheetView tabSelected="1" workbookViewId="0">
      <selection activeCell="G22" sqref="G22"/>
    </sheetView>
  </sheetViews>
  <sheetFormatPr baseColWidth="10" defaultColWidth="11.1640625" defaultRowHeight="15" customHeight="1"/>
  <cols>
    <col min="1" max="26" width="10.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spans="1:1" ht="15.75" customHeight="1">
      <c r="A17" s="2"/>
    </row>
    <row r="18" spans="1:1" ht="15.75" customHeight="1"/>
    <row r="19" spans="1:1" ht="15.75" customHeight="1"/>
    <row r="20" spans="1:1" ht="15.75" customHeight="1"/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university_test_scores_clean</vt:lpstr>
      <vt:lpstr>One Sample Test</vt:lpstr>
      <vt:lpstr>Confidence Interval</vt:lpstr>
      <vt:lpstr>Inference Commentary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Bradley, Emily</dc:creator>
  <cp:lastModifiedBy>Bradley, Emily</cp:lastModifiedBy>
  <dcterms:created xsi:type="dcterms:W3CDTF">2026-07-31T15:40:05Z</dcterms:created>
  <dcterms:modified xsi:type="dcterms:W3CDTF">2026-08-10T02:07:19Z</dcterms:modified>
</cp:coreProperties>
</file>